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G:\data analysis\projects\excel\"/>
    </mc:Choice>
  </mc:AlternateContent>
  <xr:revisionPtr revIDLastSave="0" documentId="13_ncr:1_{0B5FE96E-A5C9-402D-9AB8-7CD1D9961283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Table1" sheetId="4" state="hidden" r:id="rId1"/>
    <sheet name="pivot tables" sheetId="15" r:id="rId2"/>
    <sheet name="Dashboard" sheetId="19" r:id="rId3"/>
    <sheet name="Misuo (2)" sheetId="17" r:id="rId4"/>
  </sheets>
  <definedNames>
    <definedName name="ExternalData_1" localSheetId="0" hidden="1">Table1!$A$1:$R$127</definedName>
    <definedName name="ExternalData_10" localSheetId="3" hidden="1">'Misuo (2)'!$A$1:$U$126</definedName>
    <definedName name="Slicer_الحالة">#N/A</definedName>
    <definedName name="Slicer_الصنف">#N/A</definedName>
    <definedName name="غغعغغع">#REF!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5" l="1"/>
  <c r="T17" i="15"/>
  <c r="H12" i="15"/>
  <c r="B12" i="15"/>
  <c r="N10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Misuo" description="Connection to the 'Misuo' query in the workbook." type="5" refreshedVersion="2" background="1" saveData="1">
    <dbPr connection="Provider=Microsoft.Mashup.OleDb.1;Data Source=$Workbook$;Location=Misuo;Extended Properties=&quot;&quot;" command="SELECT * FROM [Misuo]"/>
  </connection>
  <connection id="2" xr16:uid="{00000000-0015-0000-FFFF-FFFF01000000}" name="Query - Misuo (2)" description="Connection to the 'Misuo (2)' query in the workbook." type="5" refreshedVersion="2" background="1" saveData="1">
    <dbPr connection="Provider=Microsoft.Mashup.OleDb.1;Data Source=$Workbook$;Location=&quot;Misuo (2)&quot;;Extended Properties=&quot;&quot;" command="SELECT * FROM [Misuo (2)]"/>
  </connection>
  <connection id="3" xr16:uid="{00000000-0015-0000-FFFF-FFFF02000000}" name="Query - Misuo_5" description="Connection to the 'Misuo_5' query in the workbook." type="5" refreshedVersion="2" background="1" saveData="1">
    <dbPr connection="Provider=Microsoft.Mashup.OleDb.1;Data Source=$Workbook$;Location=Misuo_5;Extended Properties=&quot;&quot;" command="SELECT * FROM [Misuo_5]"/>
  </connection>
  <connection id="4" xr16:uid="{00000000-0015-0000-FFFF-FFFF03000000}" name="Query - Misuo_6" description="Connection to the 'Misuo_6' query in the workbook." type="5" refreshedVersion="2" background="1" saveData="1">
    <dbPr connection="Provider=Microsoft.Mashup.OleDb.1;Data Source=$Workbook$;Location=Misuo_6;Extended Properties=&quot;&quot;" command="SELECT * FROM [Misuo_6]"/>
  </connection>
  <connection id="5" xr16:uid="{00000000-0015-0000-FFFF-FFFF04000000}" name="Query - Table1 (3)" description="Connection to the 'Table1 (3)' query in the workbook." type="5" refreshedVersion="2" background="1" saveData="1">
    <dbPr connection="Provider=Microsoft.Mashup.OleDb.1;Data Source=$Workbook$;Location=&quot;Table1 (3)&quot;;Extended Properties=&quot;&quot;" command="SELECT * FROM [Table1 (3)]"/>
  </connection>
</connections>
</file>

<file path=xl/sharedStrings.xml><?xml version="1.0" encoding="utf-8"?>
<sst xmlns="http://schemas.openxmlformats.org/spreadsheetml/2006/main" count="3039" uniqueCount="398">
  <si>
    <t>م</t>
  </si>
  <si>
    <t>أسم العميل</t>
  </si>
  <si>
    <t>العنوان</t>
  </si>
  <si>
    <t>رقم الموبيل</t>
  </si>
  <si>
    <t xml:space="preserve">منصة البيع </t>
  </si>
  <si>
    <t>Column8</t>
  </si>
  <si>
    <t>Column9</t>
  </si>
  <si>
    <t>الاسم</t>
  </si>
  <si>
    <t>المقاس</t>
  </si>
  <si>
    <t>اللون المعدن</t>
  </si>
  <si>
    <t>لون القماش</t>
  </si>
  <si>
    <t>المنتج</t>
  </si>
  <si>
    <t xml:space="preserve">سعر البيع </t>
  </si>
  <si>
    <t>ميعاد الطلب</t>
  </si>
  <si>
    <t>ميعاد التسليم</t>
  </si>
  <si>
    <t>تاريخ التسليم</t>
  </si>
  <si>
    <t>المسئول عن التسليم</t>
  </si>
  <si>
    <t>الحالة</t>
  </si>
  <si>
    <t xml:space="preserve">خالد عبد القوى </t>
  </si>
  <si>
    <t>العجوزه - الجيزه</t>
  </si>
  <si>
    <t>هومزمارت</t>
  </si>
  <si>
    <t>سرير</t>
  </si>
  <si>
    <t>منطبق</t>
  </si>
  <si>
    <t xml:space="preserve">سرير منطبق الحديد ابيض والقماش ابيض </t>
  </si>
  <si>
    <t xml:space="preserve">تم التسليم عن طريق شركه شحن </t>
  </si>
  <si>
    <t>نم التسليم</t>
  </si>
  <si>
    <t>محمود</t>
  </si>
  <si>
    <t>سموحه - اسكندريه</t>
  </si>
  <si>
    <t xml:space="preserve">سرير منطبق اسود والقماش اسود </t>
  </si>
  <si>
    <t>سعيد</t>
  </si>
  <si>
    <t xml:space="preserve">سيدى عبد الرحمن - الساحل الشمالى </t>
  </si>
  <si>
    <t>دورين</t>
  </si>
  <si>
    <t>كيفنج</t>
  </si>
  <si>
    <t>ازرق</t>
  </si>
  <si>
    <t xml:space="preserve">سرير كيفينج مقاس 90 لون ازرق </t>
  </si>
  <si>
    <t xml:space="preserve">فشل التسليم </t>
  </si>
  <si>
    <t>فشل التسليم</t>
  </si>
  <si>
    <t>ساندرا</t>
  </si>
  <si>
    <t xml:space="preserve">الغردقه </t>
  </si>
  <si>
    <t>تربيزه</t>
  </si>
  <si>
    <t xml:space="preserve">ترابيزه قهوه متحركه </t>
  </si>
  <si>
    <t xml:space="preserve">زينا </t>
  </si>
  <si>
    <t>نوفال</t>
  </si>
  <si>
    <t>رمادى</t>
  </si>
  <si>
    <t xml:space="preserve">سرير نوفال متر رمادى </t>
  </si>
  <si>
    <t xml:space="preserve">شيك هومز </t>
  </si>
  <si>
    <t xml:space="preserve">كنبة </t>
  </si>
  <si>
    <t>4*1</t>
  </si>
  <si>
    <t xml:space="preserve">كنبه سرير رمادى </t>
  </si>
  <si>
    <t xml:space="preserve">احمد </t>
  </si>
  <si>
    <t>التجمع الخامس</t>
  </si>
  <si>
    <t>فيس بوك</t>
  </si>
  <si>
    <t xml:space="preserve">تم تسليم العميل عن طريق شركه شحن </t>
  </si>
  <si>
    <t>yilmaz</t>
  </si>
  <si>
    <t xml:space="preserve">٦ اكتوبر الجيزه </t>
  </si>
  <si>
    <t>فردى</t>
  </si>
  <si>
    <t xml:space="preserve">سرير فردى ابيض </t>
  </si>
  <si>
    <t xml:space="preserve">تاكى </t>
  </si>
  <si>
    <t>العباسيه</t>
  </si>
  <si>
    <t>تاكى</t>
  </si>
  <si>
    <t>ركنة</t>
  </si>
  <si>
    <t>ركنة بسرير</t>
  </si>
  <si>
    <t xml:space="preserve">ركنه </t>
  </si>
  <si>
    <t>كنبة</t>
  </si>
  <si>
    <t>سحارة</t>
  </si>
  <si>
    <t>٢ كنبه سحاره بمخدع</t>
  </si>
  <si>
    <t xml:space="preserve">ملغى </t>
  </si>
  <si>
    <t>لغى</t>
  </si>
  <si>
    <t xml:space="preserve">العباسيه </t>
  </si>
  <si>
    <t xml:space="preserve">٢ كنبه سحاره بدون مخدع </t>
  </si>
  <si>
    <t xml:space="preserve">تم التسليم محمود على </t>
  </si>
  <si>
    <t xml:space="preserve">على رشوان </t>
  </si>
  <si>
    <t>مصر الجديده</t>
  </si>
  <si>
    <t>ابيض</t>
  </si>
  <si>
    <t>سرير نوفال ابيض مقاس ٨٠</t>
  </si>
  <si>
    <t xml:space="preserve">احمد فخرى </t>
  </si>
  <si>
    <t>سرير فردى خشب موسكى الحديد ابيض مقاس ٨٠</t>
  </si>
  <si>
    <t xml:space="preserve">لينا </t>
  </si>
  <si>
    <t xml:space="preserve">المقطم </t>
  </si>
  <si>
    <t>2 ميكانزم</t>
  </si>
  <si>
    <t xml:space="preserve">ترابيزه قهوه علويه جديده </t>
  </si>
  <si>
    <t>مرتجع</t>
  </si>
  <si>
    <t xml:space="preserve">فيصل نعيم </t>
  </si>
  <si>
    <t xml:space="preserve">التجمع الخامس </t>
  </si>
  <si>
    <t xml:space="preserve">اوسكار ريتن </t>
  </si>
  <si>
    <t>اسود</t>
  </si>
  <si>
    <t xml:space="preserve">٢ سرير كيفنج ١٢٠ اسود </t>
  </si>
  <si>
    <t>ellho elkafy</t>
  </si>
  <si>
    <t xml:space="preserve">مدينه نصر </t>
  </si>
  <si>
    <t>كينج</t>
  </si>
  <si>
    <t xml:space="preserve">سرير كينج ابيض مقاس ٨٠ التصميم الجديد </t>
  </si>
  <si>
    <t>القاهره الجديده</t>
  </si>
  <si>
    <t>فورجينا</t>
  </si>
  <si>
    <t>٤سرير فردى خشب موسكى الحديد ابيض مقاس ٨٠</t>
  </si>
  <si>
    <t>تم التسليم</t>
  </si>
  <si>
    <t>كرسى</t>
  </si>
  <si>
    <t>فنسيا</t>
  </si>
  <si>
    <t xml:space="preserve">٢ فوتيه فنيسيا </t>
  </si>
  <si>
    <t>صفاء</t>
  </si>
  <si>
    <t>المعادى</t>
  </si>
  <si>
    <t>حسن حازم</t>
  </si>
  <si>
    <t>اسبانى</t>
  </si>
  <si>
    <t>سرير اسبانى ابيض ١٢٠</t>
  </si>
  <si>
    <t xml:space="preserve">سرير كينج ابيض </t>
  </si>
  <si>
    <t>شيك هومز</t>
  </si>
  <si>
    <t xml:space="preserve">سرير كينج اسود </t>
  </si>
  <si>
    <t>اوسكار راتن</t>
  </si>
  <si>
    <t xml:space="preserve">مخزن اوسكار في القناطر </t>
  </si>
  <si>
    <t>٢ سريرفورجينا خشب موسكى ابيض مقاس ١٢٠</t>
  </si>
  <si>
    <t>ارفيل</t>
  </si>
  <si>
    <t xml:space="preserve">٢ سرير ارفيل ١٢٠ اسود </t>
  </si>
  <si>
    <t>صفاء الحكيم</t>
  </si>
  <si>
    <t>العين السخنه</t>
  </si>
  <si>
    <t>سرير منطببق اسود وقماش اسود</t>
  </si>
  <si>
    <t>يوسف شناوى</t>
  </si>
  <si>
    <t xml:space="preserve">الابراهيميه . الإسكندرية </t>
  </si>
  <si>
    <t>رف سحاب</t>
  </si>
  <si>
    <t xml:space="preserve">ترابيزه قهوه علويه برف سحاب </t>
  </si>
  <si>
    <t xml:space="preserve">حاتم العيسوي </t>
  </si>
  <si>
    <t>سرير منطبق اسود حديد وقماش</t>
  </si>
  <si>
    <t xml:space="preserve">رنا </t>
  </si>
  <si>
    <t xml:space="preserve">القطاميه </t>
  </si>
  <si>
    <t>نم التصنيع</t>
  </si>
  <si>
    <t>عبير نور الدين</t>
  </si>
  <si>
    <t xml:space="preserve">١٨ شارع البحيري بولاق الدكرور الجيزه </t>
  </si>
  <si>
    <t>1229928475-01022373996</t>
  </si>
  <si>
    <t>ثلاثه ادوار</t>
  </si>
  <si>
    <t xml:space="preserve">سرير ٣ ادورا اسود مقاس ١٠٠ </t>
  </si>
  <si>
    <t>لاغى</t>
  </si>
  <si>
    <t xml:space="preserve">اسراء ابو العنين </t>
  </si>
  <si>
    <t>سرير اسبانى اسود مقاس ١٢٠</t>
  </si>
  <si>
    <t>وائل صادق</t>
  </si>
  <si>
    <t>كورين</t>
  </si>
  <si>
    <t>دهبي</t>
  </si>
  <si>
    <t xml:space="preserve">سرير كوين مقاس ١٤٠ دهبي ورمادى </t>
  </si>
  <si>
    <t xml:space="preserve">حسن مغرب </t>
  </si>
  <si>
    <t xml:space="preserve">سرير كيفنج ١٢٠ رمادى </t>
  </si>
  <si>
    <t xml:space="preserve">على السيد </t>
  </si>
  <si>
    <t xml:space="preserve">الشروق القاهره </t>
  </si>
  <si>
    <t xml:space="preserve">سرير نوفال  ٩٠ اسود </t>
  </si>
  <si>
    <t xml:space="preserve">هشام بسيونى </t>
  </si>
  <si>
    <t xml:space="preserve">حدايق الاهرام </t>
  </si>
  <si>
    <t xml:space="preserve">            ٢ سرير كيفنج ١٠٠ اسود </t>
  </si>
  <si>
    <t>الشروق</t>
  </si>
  <si>
    <t xml:space="preserve">سرير ٣ ادوار ابيض مقاس ٨٠ ابيض </t>
  </si>
  <si>
    <t xml:space="preserve">ساره وجيه </t>
  </si>
  <si>
    <t xml:space="preserve">سرير كيفنج دورين مقاس ٨٠ ابيض </t>
  </si>
  <si>
    <t xml:space="preserve">مها </t>
  </si>
  <si>
    <t xml:space="preserve">لافيستا العين السخنه </t>
  </si>
  <si>
    <t>سرير استيل ازرق مقاس ١٤٠</t>
  </si>
  <si>
    <t xml:space="preserve">بسام الشربينى </t>
  </si>
  <si>
    <t>بنفسجى</t>
  </si>
  <si>
    <t xml:space="preserve">سرير كينج ١٢٠ بنفسجى </t>
  </si>
  <si>
    <t xml:space="preserve">هبه عبد الفتاح </t>
  </si>
  <si>
    <t xml:space="preserve">القاهره الجديده </t>
  </si>
  <si>
    <t xml:space="preserve">كنبه سرير ٤ حركه </t>
  </si>
  <si>
    <t xml:space="preserve">اسراء ابراهيم </t>
  </si>
  <si>
    <t xml:space="preserve">طارق كمال </t>
  </si>
  <si>
    <t xml:space="preserve">سرير ٣ ادوار اسود مقاس ٩٠ </t>
  </si>
  <si>
    <t xml:space="preserve">ديفد بهجت </t>
  </si>
  <si>
    <t>فيصل الجيزه</t>
  </si>
  <si>
    <t>تربيزه قهوه ٢ رافع</t>
  </si>
  <si>
    <t xml:space="preserve">اياد </t>
  </si>
  <si>
    <t>بمكتبة</t>
  </si>
  <si>
    <t>ميار خورشد</t>
  </si>
  <si>
    <t xml:space="preserve">سرير منطبق اسود حديد ومعدن </t>
  </si>
  <si>
    <t xml:space="preserve">عبد الله سيد </t>
  </si>
  <si>
    <t xml:space="preserve">الشيخ زايد ٦ اكتوبر </t>
  </si>
  <si>
    <t xml:space="preserve">سرير اسبانى  ١٤٠ اسود وبيج </t>
  </si>
  <si>
    <t xml:space="preserve">كينج سونا </t>
  </si>
  <si>
    <t xml:space="preserve">تربيزه قهوه مرتفعه برف سحاب </t>
  </si>
  <si>
    <t xml:space="preserve">احمد خالد </t>
  </si>
  <si>
    <t>الرحاب</t>
  </si>
  <si>
    <t xml:space="preserve"> ٢. سرير فورجينا ابيض مقاس ١٢٠</t>
  </si>
  <si>
    <t>ساره</t>
  </si>
  <si>
    <t xml:space="preserve">   ٢. سرير اسبانى ابيض ١٢٠</t>
  </si>
  <si>
    <t xml:space="preserve">احمد ايمن </t>
  </si>
  <si>
    <t>العبور</t>
  </si>
  <si>
    <t xml:space="preserve">مصطفي غنيم </t>
  </si>
  <si>
    <t xml:space="preserve">اسيوط </t>
  </si>
  <si>
    <t xml:space="preserve">سرير كيفنج دورين مقاس ١٢٠ رمادى </t>
  </si>
  <si>
    <t>حسام عبدون</t>
  </si>
  <si>
    <t>الغردقه</t>
  </si>
  <si>
    <t xml:space="preserve">رامى </t>
  </si>
  <si>
    <t xml:space="preserve">سرير نوفال ١٠٠ رمادى </t>
  </si>
  <si>
    <t>رحاب</t>
  </si>
  <si>
    <t xml:space="preserve">تم التسليم </t>
  </si>
  <si>
    <t xml:space="preserve">فؤاد المنسي </t>
  </si>
  <si>
    <t xml:space="preserve">سرير نوفال مقاس ٨٠ ابيض </t>
  </si>
  <si>
    <t>mohannad</t>
  </si>
  <si>
    <t>EL-Maadi</t>
  </si>
  <si>
    <t>Mohamed Ayman</t>
  </si>
  <si>
    <t>Madinet Badr</t>
  </si>
  <si>
    <t>اسامه</t>
  </si>
  <si>
    <t xml:space="preserve">المخزن ابو الغيط </t>
  </si>
  <si>
    <t>اسود وبنى</t>
  </si>
  <si>
    <t>ولاء بدوى</t>
  </si>
  <si>
    <t>عبد الرحمن يسري</t>
  </si>
  <si>
    <t>اكتوبر الجيزه</t>
  </si>
  <si>
    <t>التجمع</t>
  </si>
  <si>
    <t>كنبه</t>
  </si>
  <si>
    <t>4×1</t>
  </si>
  <si>
    <t xml:space="preserve">نبيتى </t>
  </si>
  <si>
    <t xml:space="preserve">اسود </t>
  </si>
  <si>
    <t>لغي</t>
  </si>
  <si>
    <t>الحج محمد السويس</t>
  </si>
  <si>
    <t xml:space="preserve">السويس </t>
  </si>
  <si>
    <t>السويس</t>
  </si>
  <si>
    <t>فانتاستك</t>
  </si>
  <si>
    <t>ملون</t>
  </si>
  <si>
    <t xml:space="preserve">تم التسليم بمعرفه الحج سيد </t>
  </si>
  <si>
    <t>اسزد</t>
  </si>
  <si>
    <t>بيج</t>
  </si>
  <si>
    <t>فنيسيا</t>
  </si>
  <si>
    <t>رصاصي مشجر</t>
  </si>
  <si>
    <t>شيزلونج</t>
  </si>
  <si>
    <t>عمرو الأسود</t>
  </si>
  <si>
    <t>الزمالك</t>
  </si>
  <si>
    <t>مخزن شيك هومز</t>
  </si>
  <si>
    <t xml:space="preserve">كنبه </t>
  </si>
  <si>
    <t xml:space="preserve">بترولى </t>
  </si>
  <si>
    <t xml:space="preserve">أكتوبر </t>
  </si>
  <si>
    <t>keira</t>
  </si>
  <si>
    <t xml:space="preserve">نوفال </t>
  </si>
  <si>
    <t>١٤٠/١٠٠</t>
  </si>
  <si>
    <t>بينك</t>
  </si>
  <si>
    <t>tarek</t>
  </si>
  <si>
    <t>reem</t>
  </si>
  <si>
    <t>البطاش اسكندريه</t>
  </si>
  <si>
    <t>١٠٠/١٤٠</t>
  </si>
  <si>
    <t>هشام سامى</t>
  </si>
  <si>
    <t>41 كومبوند جولدن جستس الدور 4 شقه 4</t>
  </si>
  <si>
    <t xml:space="preserve">منزلى </t>
  </si>
  <si>
    <t>بلحه</t>
  </si>
  <si>
    <t>خشب بنى فاتح</t>
  </si>
  <si>
    <t>فانتستيك</t>
  </si>
  <si>
    <t>الوان</t>
  </si>
  <si>
    <t>المعرض مدينه نصر</t>
  </si>
  <si>
    <t xml:space="preserve">مرفوض </t>
  </si>
  <si>
    <t>فاطمه محمد</t>
  </si>
  <si>
    <t>أكتوبر الجيزه</t>
  </si>
  <si>
    <t>الشيخ زايد اكتوبر</t>
  </si>
  <si>
    <t>بولا هومزمارت</t>
  </si>
  <si>
    <t>مسيو هومزمارت</t>
  </si>
  <si>
    <t xml:space="preserve">محمد شكرى </t>
  </si>
  <si>
    <t>مدينتى</t>
  </si>
  <si>
    <t>ارينا</t>
  </si>
  <si>
    <t>بترولى</t>
  </si>
  <si>
    <t>منزلى</t>
  </si>
  <si>
    <t>حماده</t>
  </si>
  <si>
    <t>صفاء عبد الباقي</t>
  </si>
  <si>
    <t xml:space="preserve">كينج </t>
  </si>
  <si>
    <t xml:space="preserve">سرير </t>
  </si>
  <si>
    <t>المخزن</t>
  </si>
  <si>
    <t xml:space="preserve">دورين </t>
  </si>
  <si>
    <t xml:space="preserve">رندا العامرى </t>
  </si>
  <si>
    <t xml:space="preserve">كيمت </t>
  </si>
  <si>
    <t xml:space="preserve">كيفنج </t>
  </si>
  <si>
    <t>٦ اكتوبر الجيزه</t>
  </si>
  <si>
    <t xml:space="preserve">فردى </t>
  </si>
  <si>
    <t>امريكى</t>
  </si>
  <si>
    <t>محمد حمدى</t>
  </si>
  <si>
    <t>فيسبوك</t>
  </si>
  <si>
    <t xml:space="preserve">كوين </t>
  </si>
  <si>
    <t xml:space="preserve">بافلى هانى </t>
  </si>
  <si>
    <t xml:space="preserve">شبرا </t>
  </si>
  <si>
    <t xml:space="preserve">اسبانى </t>
  </si>
  <si>
    <t>t1</t>
  </si>
  <si>
    <t xml:space="preserve">تم التسليم م محمد </t>
  </si>
  <si>
    <t>رنا ميلاد</t>
  </si>
  <si>
    <t xml:space="preserve">جليم الإسكندرية </t>
  </si>
  <si>
    <t>ترابيزه</t>
  </si>
  <si>
    <t>مكتبه</t>
  </si>
  <si>
    <t>محمد ناجى</t>
  </si>
  <si>
    <t xml:space="preserve">دوران </t>
  </si>
  <si>
    <t>ميكانزم</t>
  </si>
  <si>
    <t>ابيض في بنى غامق</t>
  </si>
  <si>
    <t>احمد عبد الستار</t>
  </si>
  <si>
    <t>المندره اسكندريه</t>
  </si>
  <si>
    <t>العميل رفض الاستلام</t>
  </si>
  <si>
    <t xml:space="preserve">نور </t>
  </si>
  <si>
    <t xml:space="preserve">ترابيزه </t>
  </si>
  <si>
    <t>بنى غامق</t>
  </si>
  <si>
    <t>نور</t>
  </si>
  <si>
    <t xml:space="preserve">هومزمارت </t>
  </si>
  <si>
    <t xml:space="preserve">بنى غامق </t>
  </si>
  <si>
    <t>تامر</t>
  </si>
  <si>
    <t>٢ ميكانزم</t>
  </si>
  <si>
    <t xml:space="preserve">بيج </t>
  </si>
  <si>
    <t>هناء اسامه</t>
  </si>
  <si>
    <t>القطاميه</t>
  </si>
  <si>
    <t xml:space="preserve">محمد عادل </t>
  </si>
  <si>
    <t>مريم عنان</t>
  </si>
  <si>
    <t xml:space="preserve">اب تاون كايرو التجمع </t>
  </si>
  <si>
    <t xml:space="preserve">هبه عطيه </t>
  </si>
  <si>
    <t>دوران</t>
  </si>
  <si>
    <t>حمدى ذكرى</t>
  </si>
  <si>
    <t>روك ١٠</t>
  </si>
  <si>
    <t xml:space="preserve">Average of سعر البيع </t>
  </si>
  <si>
    <t xml:space="preserve">Sum of سعر البيع </t>
  </si>
  <si>
    <t>Average of مدة التسليم(الفعلي)</t>
  </si>
  <si>
    <t>Row Labels</t>
  </si>
  <si>
    <t>Count of طريقة الدفع</t>
  </si>
  <si>
    <t>حساب شركه</t>
  </si>
  <si>
    <t>Count of أسم العميل</t>
  </si>
  <si>
    <t>اوسكار ريتن</t>
  </si>
  <si>
    <t>Count of الحالة</t>
  </si>
  <si>
    <t>Count of نوع العميل</t>
  </si>
  <si>
    <t>غير معروف</t>
  </si>
  <si>
    <t>القاهرة</t>
  </si>
  <si>
    <t>افراد</t>
  </si>
  <si>
    <t>كاش</t>
  </si>
  <si>
    <t>الجيزة</t>
  </si>
  <si>
    <t>شركات</t>
  </si>
  <si>
    <t>Jul</t>
  </si>
  <si>
    <t>مسبق الدفع</t>
  </si>
  <si>
    <t>Grand Total</t>
  </si>
  <si>
    <t>Aug</t>
  </si>
  <si>
    <t>الإسكندرية</t>
  </si>
  <si>
    <t>Sep</t>
  </si>
  <si>
    <t>القليوبية</t>
  </si>
  <si>
    <t>Oct</t>
  </si>
  <si>
    <t>البحر الأحمر</t>
  </si>
  <si>
    <t>Nov</t>
  </si>
  <si>
    <t>مطروح</t>
  </si>
  <si>
    <t>Dec</t>
  </si>
  <si>
    <t>أسيوط</t>
  </si>
  <si>
    <t>نوع العميل</t>
  </si>
  <si>
    <t>المحافظة</t>
  </si>
  <si>
    <t>الصنف</t>
  </si>
  <si>
    <t>نوع الصنف</t>
  </si>
  <si>
    <t>الكمية</t>
  </si>
  <si>
    <t>طريقة الدفع</t>
  </si>
  <si>
    <t>مدة التسليم(الهدف)</t>
  </si>
  <si>
    <t>مدة التسليم(الفعلي)</t>
  </si>
  <si>
    <t>خالد عبد القوى</t>
  </si>
  <si>
    <t>تم التسليم عن طريق شركه شحن</t>
  </si>
  <si>
    <t>سيدى عبد الرحمن - الساحل الشمالى</t>
  </si>
  <si>
    <t>90</t>
  </si>
  <si>
    <t>زينا</t>
  </si>
  <si>
    <t>100</t>
  </si>
  <si>
    <t>رمادي</t>
  </si>
  <si>
    <t>احمد</t>
  </si>
  <si>
    <t>تم التسليم محمود على</t>
  </si>
  <si>
    <t>على رشوان</t>
  </si>
  <si>
    <t>80</t>
  </si>
  <si>
    <t>احمد فخرى</t>
  </si>
  <si>
    <t>لينا</t>
  </si>
  <si>
    <t>المقطم</t>
  </si>
  <si>
    <t>فيصل نعيم</t>
  </si>
  <si>
    <t>120</t>
  </si>
  <si>
    <t>مدينه نصر</t>
  </si>
  <si>
    <t>مخزن اوسكار في القناطر</t>
  </si>
  <si>
    <t>الابراهيميه . الإسكندرية</t>
  </si>
  <si>
    <t>حاتم العيسوي</t>
  </si>
  <si>
    <t>رنا</t>
  </si>
  <si>
    <t>١٨ شارع البحيري بولاق الدكرور الجيزه</t>
  </si>
  <si>
    <t>اسراء ابو العنين</t>
  </si>
  <si>
    <t>كوين</t>
  </si>
  <si>
    <t>140</t>
  </si>
  <si>
    <t>حسن مغرب</t>
  </si>
  <si>
    <t>على السيد</t>
  </si>
  <si>
    <t>هشام بسيونى</t>
  </si>
  <si>
    <t>حدايق الاهرام</t>
  </si>
  <si>
    <t>ساره وجيه</t>
  </si>
  <si>
    <t>مها</t>
  </si>
  <si>
    <t>لافيستا العين السخنه</t>
  </si>
  <si>
    <t>بسام الشربينى</t>
  </si>
  <si>
    <t>هبه عبد الفتاح</t>
  </si>
  <si>
    <t>اسراء ابراهيم</t>
  </si>
  <si>
    <t>طارق كمال</t>
  </si>
  <si>
    <t>ديفد بهجت</t>
  </si>
  <si>
    <t>اياد</t>
  </si>
  <si>
    <t>عبد الله سيد</t>
  </si>
  <si>
    <t>كينج سونا</t>
  </si>
  <si>
    <t>احمد خالد</t>
  </si>
  <si>
    <t>احمد ايمن</t>
  </si>
  <si>
    <t>مصطفي غنيم</t>
  </si>
  <si>
    <t>اسيوط</t>
  </si>
  <si>
    <t>رامى</t>
  </si>
  <si>
    <t>فؤاد المنسي</t>
  </si>
  <si>
    <t>مدينة بدر</t>
  </si>
  <si>
    <t>المخزن ابو الغيط</t>
  </si>
  <si>
    <t>تم التسليم بمعرفه الحج سيد</t>
  </si>
  <si>
    <t>140-100</t>
  </si>
  <si>
    <t>100-140</t>
  </si>
  <si>
    <t>محمد شكرى</t>
  </si>
  <si>
    <t>160</t>
  </si>
  <si>
    <t>رندا العامرى</t>
  </si>
  <si>
    <t>كيمت</t>
  </si>
  <si>
    <t>بافلى هانى</t>
  </si>
  <si>
    <t>شبرا</t>
  </si>
  <si>
    <t>تم التسليم م محمد</t>
  </si>
  <si>
    <t>جليم الإسكندرية</t>
  </si>
  <si>
    <t>ميكانزم 2</t>
  </si>
  <si>
    <t>محمد عادل</t>
  </si>
  <si>
    <t>اب تاون كايرو التجمع الخامس</t>
  </si>
  <si>
    <t>هبه عطيه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</si>
</sst>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4">
    <font>
      <sz val="11"/>
      <color theme="1"/>
      <name val="Calibri"/>
      <charset val="134"/>
      <scheme val="minor"/>
    </font>
    <font>
      <sz val="11"/>
      <color theme="2" tint="-0.24997711111789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2" fillId="3" borderId="0" xfId="0" applyFont="1" applyFill="1"/>
    <xf numFmtId="164" fontId="0" fillId="0" borderId="0" xfId="0" applyNumberFormat="1"/>
    <xf numFmtId="164" fontId="0" fillId="0" borderId="0" xfId="1" applyNumberFormat="1" applyFont="1"/>
    <xf numFmtId="1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0" fontId="2" fillId="3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41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sz val="11"/>
      </font>
    </dxf>
    <dxf>
      <numFmt numFmtId="164" formatCode="_-* #,##0_-;\-* #,##0_-;_-* &quot;-&quot;??_-;_-@_-"/>
    </dxf>
    <dxf>
      <numFmt numFmtId="0" formatCode="General"/>
    </dxf>
    <dxf>
      <numFmt numFmtId="0" formatCode="General"/>
    </dxf>
    <dxf>
      <numFmt numFmtId="165" formatCode="m/d/yyyy"/>
    </dxf>
    <dxf>
      <numFmt numFmtId="165" formatCode="m/d/yyyy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z val="10"/>
        <color theme="0"/>
      </font>
      <fill>
        <patternFill patternType="solid">
          <fgColor rgb="FF202E59"/>
          <bgColor rgb="FF202E5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2" defaultTableStyle="TableStyleMedium2" defaultPivotStyle="PivotStyleLight16">
    <tableStyle name="Invisible" pivot="0" table="0" count="0" xr9:uid="{2B88722F-86CA-44D6-B349-F50A252F63AB}"/>
    <tableStyle name="Slicer Style 1" pivot="0" table="0" count="1" xr9:uid="{6A948738-C3DF-4F46-82B4-7BBA0412E8C2}">
      <tableStyleElement type="wholeTable" dxfId="40"/>
    </tableStyle>
  </tableStyles>
  <colors>
    <mruColors>
      <color rgb="FF202E59"/>
      <color rgb="FFF17F97"/>
      <color rgb="FF770D24"/>
      <color rgb="FF000000"/>
      <color rgb="FFE23C48"/>
      <color rgb="FF8C031C"/>
    </mruColors>
  </color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[MISUO - Your Full Name (version 1).xlsb.xlsx]pivot tables!PivotTable16</c:name>
    <c:fmtId val="3"/>
  </c:pivotSource>
  <c:chart>
    <c:autoTitleDeleted val="1"/>
    <c:pivotFmts>
      <c:pivotFmt>
        <c:idx val="0"/>
        <c:spPr>
          <a:solidFill>
            <a:srgbClr val="8C031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C031C"/>
          </a:solidFill>
          <a:ln>
            <a:noFill/>
          </a:ln>
          <a:effectLst/>
        </c:spPr>
        <c:dLbl>
          <c:idx val="0"/>
          <c:layout>
            <c:manualLayout>
              <c:x val="8.7425983006572602E-2"/>
              <c:y val="5.31046921273877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lang="en-GB"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154575428961102"/>
                  <c:h val="0.154983894058697"/>
                </c:manualLayout>
              </c15:layout>
            </c:ext>
          </c:extLst>
        </c:dLbl>
      </c:pivotFmt>
      <c:pivotFmt>
        <c:idx val="2"/>
        <c:spPr>
          <a:solidFill>
            <a:srgbClr val="8C031C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046783625731"/>
                  <c:h val="0.31706383924231701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4.2280998432242901E-2"/>
          <c:y val="0.11844331641286"/>
          <c:w val="0.92888400070987598"/>
          <c:h val="0.723107988573251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tables'!$Z$11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C031C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8C031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2D-4331-88D8-87AC3B2913A5}"/>
              </c:ext>
            </c:extLst>
          </c:dPt>
          <c:dPt>
            <c:idx val="1"/>
            <c:invertIfNegative val="0"/>
            <c:bubble3D val="0"/>
            <c:spPr>
              <a:solidFill>
                <a:srgbClr val="8C031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2D-4331-88D8-87AC3B2913A5}"/>
              </c:ext>
            </c:extLst>
          </c:dPt>
          <c:dLbls>
            <c:dLbl>
              <c:idx val="0"/>
              <c:layout>
                <c:manualLayout>
                  <c:x val="8.7425983006572602E-2"/>
                  <c:y val="5.310469212738779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GB" sz="9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154575428961102"/>
                      <c:h val="0.15498389405869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C2D-4331-88D8-87AC3B2913A5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046783625731"/>
                      <c:h val="0.3170638392423170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C2D-4331-88D8-87AC3B2913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tables'!$Y$12:$Y$17</c:f>
              <c:strCache>
                <c:ptCount val="5"/>
                <c:pt idx="0">
                  <c:v>هومزمارت</c:v>
                </c:pt>
                <c:pt idx="1">
                  <c:v>شيك هومز</c:v>
                </c:pt>
                <c:pt idx="2">
                  <c:v>اوسكار ريتن</c:v>
                </c:pt>
                <c:pt idx="3">
                  <c:v>تاكى</c:v>
                </c:pt>
                <c:pt idx="4">
                  <c:v>السويس</c:v>
                </c:pt>
              </c:strCache>
            </c:strRef>
          </c:cat>
          <c:val>
            <c:numRef>
              <c:f>'pivot tables'!$Z$12:$Z$17</c:f>
              <c:numCache>
                <c:formatCode>_-* #,##0_-;\-* #,##0_-;_-* "-"??_-;_-@_-</c:formatCode>
                <c:ptCount val="5"/>
                <c:pt idx="0">
                  <c:v>869268</c:v>
                </c:pt>
                <c:pt idx="1">
                  <c:v>194340</c:v>
                </c:pt>
                <c:pt idx="2">
                  <c:v>68731.91</c:v>
                </c:pt>
                <c:pt idx="3">
                  <c:v>66900</c:v>
                </c:pt>
                <c:pt idx="4">
                  <c:v>33195.170106666701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2D-4331-88D8-87AC3B2913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7417168"/>
        <c:axId val="1727416808"/>
      </c:barChart>
      <c:catAx>
        <c:axId val="1727417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8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416808"/>
        <c:crosses val="autoZero"/>
        <c:auto val="1"/>
        <c:lblAlgn val="ctr"/>
        <c:lblOffset val="100"/>
        <c:noMultiLvlLbl val="0"/>
      </c:catAx>
      <c:valAx>
        <c:axId val="1727416808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1727417168"/>
        <c:crosses val="autoZero"/>
        <c:crossBetween val="between"/>
      </c:valAx>
      <c:spPr>
        <a:solidFill>
          <a:srgbClr val="202E59"/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b193e9f-1c59-4574-9d76-c8057cd9503a}"/>
      </c:ext>
    </c:extLst>
  </c:chart>
  <c:spPr>
    <a:solidFill>
      <a:srgbClr val="202E59"/>
    </a:solidFill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[MISUO - Your Full Name (version 1).xlsb.xlsx]pivot tables!PivotTable17</c:name>
    <c:fmtId val="2"/>
  </c:pivotSource>
  <c:chart>
    <c:autoTitleDeleted val="1"/>
    <c:pivotFmts>
      <c:pivotFmt>
        <c:idx val="0"/>
        <c:spPr>
          <a:solidFill>
            <a:srgbClr val="8C031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7348484848484799E-2"/>
          <c:y val="2.91919329049386E-2"/>
          <c:w val="0.89583333333333304"/>
          <c:h val="0.630560080851963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tables'!$AF$14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C031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tables'!$AE$15:$AE$21</c:f>
              <c:strCache>
                <c:ptCount val="6"/>
                <c:pt idx="0">
                  <c:v>سرير</c:v>
                </c:pt>
                <c:pt idx="1">
                  <c:v>كنبة</c:v>
                </c:pt>
                <c:pt idx="2">
                  <c:v>ترابيزه</c:v>
                </c:pt>
                <c:pt idx="3">
                  <c:v>ركنة</c:v>
                </c:pt>
                <c:pt idx="4">
                  <c:v>شيزلونج</c:v>
                </c:pt>
                <c:pt idx="5">
                  <c:v>كرسى</c:v>
                </c:pt>
              </c:strCache>
            </c:strRef>
          </c:cat>
          <c:val>
            <c:numRef>
              <c:f>'pivot tables'!$AF$15:$AF$21</c:f>
              <c:numCache>
                <c:formatCode>_-* #,##0_-;\-* #,##0_-;_-* "-"??_-;_-@_-</c:formatCode>
                <c:ptCount val="6"/>
                <c:pt idx="0">
                  <c:v>843545.81544000003</c:v>
                </c:pt>
                <c:pt idx="1">
                  <c:v>241234</c:v>
                </c:pt>
                <c:pt idx="2">
                  <c:v>150806</c:v>
                </c:pt>
                <c:pt idx="3">
                  <c:v>22000</c:v>
                </c:pt>
                <c:pt idx="4">
                  <c:v>10050.264666666701</c:v>
                </c:pt>
                <c:pt idx="5">
                  <c:v>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4-4F3C-B618-065785EBFAD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7407808"/>
        <c:axId val="1727413208"/>
      </c:barChart>
      <c:catAx>
        <c:axId val="1727407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413208"/>
        <c:crosses val="autoZero"/>
        <c:auto val="1"/>
        <c:lblAlgn val="ctr"/>
        <c:lblOffset val="100"/>
        <c:noMultiLvlLbl val="0"/>
      </c:catAx>
      <c:valAx>
        <c:axId val="1727413208"/>
        <c:scaling>
          <c:orientation val="minMax"/>
        </c:scaling>
        <c:delete val="1"/>
        <c:axPos val="l"/>
        <c:numFmt formatCode="_-* #,##0_-;\-* #,##0_-;_-* &quot;-&quot;??_-;_-@_-" sourceLinked="1"/>
        <c:majorTickMark val="out"/>
        <c:minorTickMark val="none"/>
        <c:tickLblPos val="nextTo"/>
        <c:crossAx val="172740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537035-b4b3-4965-8775-5b321dcbc6b5}"/>
      </c:ext>
    </c:extLst>
  </c:chart>
  <c:spPr>
    <a:solidFill>
      <a:srgbClr val="202E59"/>
    </a:solidFill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[MISUO - Your Full Name (version 1).xlsb.xlsx]pivot tables!PivotTable18</c:name>
    <c:fmtId val="2"/>
  </c:pivotSource>
  <c:chart>
    <c:autoTitleDeleted val="1"/>
    <c:pivotFmts>
      <c:pivotFmt>
        <c:idx val="0"/>
        <c:spPr>
          <a:solidFill>
            <a:srgbClr val="8C031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C031C"/>
          </a:solidFill>
          <a:ln>
            <a:noFill/>
          </a:ln>
          <a:effectLst/>
        </c:spPr>
        <c:dLbl>
          <c:idx val="0"/>
          <c:layout>
            <c:manualLayout>
              <c:x val="-2.3584905660377398E-2"/>
              <c:y val="-1.77935943060497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lang="en-GB"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270836428465299"/>
                  <c:h val="6.51098439207555E-2"/>
                </c:manualLayout>
              </c15:layout>
            </c:ext>
          </c:extLst>
        </c:dLbl>
      </c:pivotFmt>
      <c:pivotFmt>
        <c:idx val="2"/>
        <c:spPr>
          <a:solidFill>
            <a:srgbClr val="8C031C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lang="en-GB"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9815220621007299"/>
                  <c:h val="6.51098439207555E-2"/>
                </c:manualLayout>
              </c15:layout>
            </c:ext>
          </c:extLst>
        </c:dLbl>
      </c:pivotFmt>
      <c:pivotFmt>
        <c:idx val="3"/>
        <c:spPr>
          <a:solidFill>
            <a:srgbClr val="8C031C"/>
          </a:solidFill>
          <a:ln>
            <a:noFill/>
          </a:ln>
          <a:effectLst/>
        </c:spPr>
        <c:dLbl>
          <c:idx val="0"/>
          <c:layout>
            <c:manualLayout>
              <c:x val="-3.5377048977368403E-2"/>
              <c:y val="-8.89668039715675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lang="en-GB"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4993685930768098"/>
                  <c:h val="5.62130467677305E-2"/>
                </c:manualLayout>
              </c15:layout>
            </c:ext>
          </c:extLst>
        </c:dLbl>
      </c:pivotFmt>
      <c:pivotFmt>
        <c:idx val="4"/>
        <c:spPr>
          <a:solidFill>
            <a:srgbClr val="8C031C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242893576982098"/>
                  <c:h val="0.10662823063487201"/>
                </c:manualLayout>
              </c15:layout>
            </c:ext>
          </c:extLst>
        </c:dLbl>
      </c:pivotFmt>
      <c:pivotFmt>
        <c:idx val="5"/>
        <c:spPr>
          <a:solidFill>
            <a:srgbClr val="8C031C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9815220621007299"/>
                  <c:h val="0.10662823063487201"/>
                </c:manualLayout>
              </c15:layout>
            </c:ext>
          </c:extLst>
        </c:dLbl>
      </c:pivotFmt>
      <c:pivotFmt>
        <c:idx val="6"/>
        <c:spPr>
          <a:solidFill>
            <a:srgbClr val="8C031C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242893576982098"/>
                  <c:h val="0.10662823063487201"/>
                </c:manualLayout>
              </c15:layout>
            </c:ext>
          </c:extLst>
        </c:dLbl>
      </c:pivotFmt>
      <c:pivotFmt>
        <c:idx val="7"/>
        <c:spPr>
          <a:solidFill>
            <a:srgbClr val="8C031C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6013841430199"/>
                  <c:h val="0.10662823063487201"/>
                </c:manualLayout>
              </c15:layout>
            </c:ext>
          </c:extLst>
        </c:dLbl>
      </c:pivotFmt>
      <c:pivotFmt>
        <c:idx val="8"/>
        <c:spPr>
          <a:solidFill>
            <a:srgbClr val="8C031C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884403010944401"/>
                  <c:h val="0.10662823063487201"/>
                </c:manualLayout>
              </c15:layout>
            </c:ext>
          </c:extLst>
        </c:dLbl>
      </c:pivotFmt>
      <c:pivotFmt>
        <c:idx val="9"/>
        <c:spPr>
          <a:solidFill>
            <a:srgbClr val="8C031C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670566532957002"/>
                  <c:h val="0.10662823063487201"/>
                </c:manualLayout>
              </c15:layout>
            </c:ext>
          </c:extLst>
        </c:dLbl>
      </c:pivotFmt>
      <c:pivotFmt>
        <c:idx val="10"/>
        <c:spPr>
          <a:solidFill>
            <a:srgbClr val="8C031C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ctr">
                <a:defRPr lang="en-US" sz="900" b="1" i="0" u="none" strike="noStrike" kern="1200" baseline="0">
                  <a:solidFill>
                    <a:srgbClr val="E7E6E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959874709057602"/>
                  <c:h val="5.9178645818738801E-2"/>
                </c:manualLayout>
              </c15:layout>
            </c:ext>
          </c:extLst>
        </c:dLbl>
      </c:pivotFmt>
      <c:pivotFmt>
        <c:idx val="11"/>
        <c:spPr>
          <a:solidFill>
            <a:srgbClr val="8C031C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lang="en-GB"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6013841430199"/>
                  <c:h val="6.2144244869747199E-2"/>
                </c:manualLayout>
              </c15:layout>
            </c:ext>
          </c:extLst>
        </c:dLbl>
      </c:pivotFmt>
      <c:pivotFmt>
        <c:idx val="12"/>
        <c:spPr>
          <a:solidFill>
            <a:srgbClr val="8C031C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lang="en-GB"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525912444906699"/>
                  <c:h val="5.0281848665713898E-2"/>
                </c:manualLayout>
              </c15:layout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tables'!$AL$12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C031C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8C031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495-4214-BC62-D0B9224A6455}"/>
              </c:ext>
            </c:extLst>
          </c:dPt>
          <c:dPt>
            <c:idx val="1"/>
            <c:invertIfNegative val="0"/>
            <c:bubble3D val="0"/>
            <c:spPr>
              <a:solidFill>
                <a:srgbClr val="8C031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495-4214-BC62-D0B9224A6455}"/>
              </c:ext>
            </c:extLst>
          </c:dPt>
          <c:dPt>
            <c:idx val="2"/>
            <c:invertIfNegative val="0"/>
            <c:bubble3D val="0"/>
            <c:spPr>
              <a:solidFill>
                <a:srgbClr val="8C031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495-4214-BC62-D0B9224A6455}"/>
              </c:ext>
            </c:extLst>
          </c:dPt>
          <c:dPt>
            <c:idx val="4"/>
            <c:invertIfNegative val="0"/>
            <c:bubble3D val="0"/>
            <c:spPr>
              <a:solidFill>
                <a:srgbClr val="8C031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495-4214-BC62-D0B9224A6455}"/>
              </c:ext>
            </c:extLst>
          </c:dPt>
          <c:dPt>
            <c:idx val="5"/>
            <c:invertIfNegative val="0"/>
            <c:bubble3D val="0"/>
            <c:spPr>
              <a:solidFill>
                <a:srgbClr val="8C031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495-4214-BC62-D0B9224A6455}"/>
              </c:ext>
            </c:extLst>
          </c:dPt>
          <c:dPt>
            <c:idx val="6"/>
            <c:invertIfNegative val="0"/>
            <c:bubble3D val="0"/>
            <c:spPr>
              <a:solidFill>
                <a:srgbClr val="8C031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495-4214-BC62-D0B9224A6455}"/>
              </c:ext>
            </c:extLst>
          </c:dPt>
          <c:dPt>
            <c:idx val="7"/>
            <c:invertIfNegative val="0"/>
            <c:bubble3D val="0"/>
            <c:spPr>
              <a:solidFill>
                <a:srgbClr val="8C031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495-4214-BC62-D0B9224A6455}"/>
              </c:ext>
            </c:extLst>
          </c:dPt>
          <c:dPt>
            <c:idx val="8"/>
            <c:invertIfNegative val="0"/>
            <c:bubble3D val="0"/>
            <c:spPr>
              <a:solidFill>
                <a:srgbClr val="8C031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495-4214-BC62-D0B9224A6455}"/>
              </c:ext>
            </c:extLst>
          </c:dPt>
          <c:dPt>
            <c:idx val="9"/>
            <c:invertIfNegative val="0"/>
            <c:bubble3D val="0"/>
            <c:spPr>
              <a:solidFill>
                <a:srgbClr val="8C031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495-4214-BC62-D0B9224A6455}"/>
              </c:ext>
            </c:extLst>
          </c:dPt>
          <c:dPt>
            <c:idx val="10"/>
            <c:invertIfNegative val="0"/>
            <c:bubble3D val="0"/>
            <c:spPr>
              <a:solidFill>
                <a:srgbClr val="8C031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495-4214-BC62-D0B9224A6455}"/>
              </c:ext>
            </c:extLst>
          </c:dPt>
          <c:dPt>
            <c:idx val="11"/>
            <c:invertIfNegative val="0"/>
            <c:bubble3D val="0"/>
            <c:spPr>
              <a:solidFill>
                <a:srgbClr val="8C031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2495-4214-BC62-D0B9224A6455}"/>
              </c:ext>
            </c:extLst>
          </c:dPt>
          <c:dPt>
            <c:idx val="12"/>
            <c:invertIfNegative val="0"/>
            <c:bubble3D val="0"/>
            <c:spPr>
              <a:solidFill>
                <a:srgbClr val="8C031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495-4214-BC62-D0B9224A6455}"/>
              </c:ext>
            </c:extLst>
          </c:dPt>
          <c:dLbls>
            <c:dLbl>
              <c:idx val="0"/>
              <c:layout>
                <c:manualLayout>
                  <c:x val="-2.3584905660377398E-2"/>
                  <c:y val="-1.77935943060497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GB" sz="9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270836428465299"/>
                      <c:h val="6.5109843920755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495-4214-BC62-D0B9224A645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GB" sz="9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815220621007299"/>
                      <c:h val="6.5109843920755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495-4214-BC62-D0B9224A6455}"/>
                </c:ext>
              </c:extLst>
            </c:dLbl>
            <c:dLbl>
              <c:idx val="2"/>
              <c:layout>
                <c:manualLayout>
                  <c:x val="-3.5377048977368403E-2"/>
                  <c:y val="-8.896680397156759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GB" sz="9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993685930768098"/>
                      <c:h val="5.6213046767730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495-4214-BC62-D0B9224A6455}"/>
                </c:ext>
              </c:extLst>
            </c:dLbl>
            <c:dLbl>
              <c:idx val="4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242893576982098"/>
                      <c:h val="0.1066282306348720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495-4214-BC62-D0B9224A6455}"/>
                </c:ext>
              </c:extLst>
            </c:dLbl>
            <c:dLbl>
              <c:idx val="5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815220621007299"/>
                      <c:h val="0.1066282306348720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495-4214-BC62-D0B9224A6455}"/>
                </c:ext>
              </c:extLst>
            </c:dLbl>
            <c:dLbl>
              <c:idx val="6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242893576982098"/>
                      <c:h val="0.1066282306348720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2495-4214-BC62-D0B9224A6455}"/>
                </c:ext>
              </c:extLst>
            </c:dLbl>
            <c:dLbl>
              <c:idx val="7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6013841430199"/>
                      <c:h val="0.1066282306348720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2495-4214-BC62-D0B9224A6455}"/>
                </c:ext>
              </c:extLst>
            </c:dLbl>
            <c:dLbl>
              <c:idx val="8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884403010944401"/>
                      <c:h val="0.1066282306348720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2495-4214-BC62-D0B9224A6455}"/>
                </c:ext>
              </c:extLst>
            </c:dLbl>
            <c:dLbl>
              <c:idx val="9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670566532957002"/>
                      <c:h val="0.1066282306348720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2495-4214-BC62-D0B9224A6455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lang="en-US" sz="900" b="1" i="0" u="none" strike="noStrike" kern="1200" baseline="0">
                      <a:solidFill>
                        <a:srgbClr val="E7E6E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959874709057602"/>
                      <c:h val="5.917864581873880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3-2495-4214-BC62-D0B9224A6455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GB" sz="9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6013841430199"/>
                      <c:h val="6.214424486974719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5-2495-4214-BC62-D0B9224A6455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GB" sz="9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525912444906699"/>
                      <c:h val="5.028184866571389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7-2495-4214-BC62-D0B9224A64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tables'!$AK$13:$AK$26</c:f>
              <c:strCache>
                <c:ptCount val="13"/>
                <c:pt idx="0">
                  <c:v>ابيض</c:v>
                </c:pt>
                <c:pt idx="1">
                  <c:v>ازرق</c:v>
                </c:pt>
                <c:pt idx="2">
                  <c:v>اسود</c:v>
                </c:pt>
                <c:pt idx="3">
                  <c:v>اسود </c:v>
                </c:pt>
                <c:pt idx="4">
                  <c:v>اسود وبنى</c:v>
                </c:pt>
                <c:pt idx="5">
                  <c:v>الوان</c:v>
                </c:pt>
                <c:pt idx="6">
                  <c:v>بنفسجى</c:v>
                </c:pt>
                <c:pt idx="7">
                  <c:v>بينك</c:v>
                </c:pt>
                <c:pt idx="8">
                  <c:v>دهبي</c:v>
                </c:pt>
                <c:pt idx="9">
                  <c:v>رمادى</c:v>
                </c:pt>
                <c:pt idx="10">
                  <c:v>غير معروف</c:v>
                </c:pt>
                <c:pt idx="11">
                  <c:v>ملون</c:v>
                </c:pt>
                <c:pt idx="12">
                  <c:v>نبيتى </c:v>
                </c:pt>
              </c:strCache>
            </c:strRef>
          </c:cat>
          <c:val>
            <c:numRef>
              <c:f>'pivot tables'!$AL$13:$AL$26</c:f>
              <c:numCache>
                <c:formatCode>_-* #,##0_-;\-* #,##0_-;_-* "-"??_-;_-@_-</c:formatCode>
                <c:ptCount val="13"/>
                <c:pt idx="0">
                  <c:v>350498</c:v>
                </c:pt>
                <c:pt idx="1">
                  <c:v>29771</c:v>
                </c:pt>
                <c:pt idx="2">
                  <c:v>401568.26466666698</c:v>
                </c:pt>
                <c:pt idx="3">
                  <c:v>107907</c:v>
                </c:pt>
                <c:pt idx="4">
                  <c:v>12500</c:v>
                </c:pt>
                <c:pt idx="5">
                  <c:v>34099.910000000003</c:v>
                </c:pt>
                <c:pt idx="6">
                  <c:v>25244</c:v>
                </c:pt>
                <c:pt idx="7">
                  <c:v>25798</c:v>
                </c:pt>
                <c:pt idx="8">
                  <c:v>15528</c:v>
                </c:pt>
                <c:pt idx="9">
                  <c:v>68491</c:v>
                </c:pt>
                <c:pt idx="10">
                  <c:v>191851</c:v>
                </c:pt>
                <c:pt idx="11">
                  <c:v>8544.9054400000005</c:v>
                </c:pt>
                <c:pt idx="12">
                  <c:v>5135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495-4214-BC62-D0B9224A64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27423648"/>
        <c:axId val="1727418608"/>
      </c:barChart>
      <c:catAx>
        <c:axId val="17274236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418608"/>
        <c:crosses val="autoZero"/>
        <c:auto val="1"/>
        <c:lblAlgn val="ctr"/>
        <c:lblOffset val="100"/>
        <c:noMultiLvlLbl val="0"/>
      </c:catAx>
      <c:valAx>
        <c:axId val="1727418608"/>
        <c:scaling>
          <c:orientation val="minMax"/>
        </c:scaling>
        <c:delete val="1"/>
        <c:axPos val="b"/>
        <c:numFmt formatCode="_-* #,##0_-;\-* #,##0_-;_-* &quot;-&quot;??_-;_-@_-" sourceLinked="1"/>
        <c:majorTickMark val="none"/>
        <c:minorTickMark val="none"/>
        <c:tickLblPos val="nextTo"/>
        <c:crossAx val="172742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247a82f-d179-4852-bcd3-4f7357f1e05a}"/>
      </c:ext>
    </c:extLst>
  </c:chart>
  <c:spPr>
    <a:solidFill>
      <a:srgbClr val="202E59"/>
    </a:solidFill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[MISUO - Your Full Name (version 1).xlsb.xlsx]pivot tables!PivotTable23</c:name>
    <c:fmtId val="4"/>
  </c:pivotSource>
  <c:chart>
    <c:autoTitleDeleted val="1"/>
    <c:pivotFmts>
      <c:pivotFmt>
        <c:idx val="0"/>
        <c:spPr>
          <a:ln w="28575" cap="rnd">
            <a:solidFill>
              <a:srgbClr val="8C031C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tables'!$BJ$15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8C031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tables'!$BI$16:$BI$22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'pivot tables'!$BJ$16:$BJ$22</c:f>
              <c:numCache>
                <c:formatCode>_-* #,##0_-;\-* #,##0_-;_-* "-"??_-;_-@_-</c:formatCode>
                <c:ptCount val="6"/>
                <c:pt idx="0">
                  <c:v>31775</c:v>
                </c:pt>
                <c:pt idx="1">
                  <c:v>89253</c:v>
                </c:pt>
                <c:pt idx="2">
                  <c:v>670451</c:v>
                </c:pt>
                <c:pt idx="3">
                  <c:v>229478.08010666701</c:v>
                </c:pt>
                <c:pt idx="4">
                  <c:v>184971</c:v>
                </c:pt>
                <c:pt idx="5">
                  <c:v>71008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D0-4A88-8D73-041CA04C94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31059008"/>
        <c:axId val="2131061168"/>
      </c:lineChart>
      <c:catAx>
        <c:axId val="2131059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061168"/>
        <c:crosses val="autoZero"/>
        <c:auto val="1"/>
        <c:lblAlgn val="ctr"/>
        <c:lblOffset val="100"/>
        <c:noMultiLvlLbl val="0"/>
      </c:catAx>
      <c:valAx>
        <c:axId val="2131061168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2131059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533fcc1-10b5-497c-ad6b-d0d8529e14a4}"/>
      </c:ext>
    </c:extLst>
  </c:chart>
  <c:spPr>
    <a:solidFill>
      <a:srgbClr val="202E59"/>
    </a:solidFill>
    <a:ln w="9525" cap="flat" cmpd="sng" algn="ctr">
      <a:solidFill>
        <a:srgbClr val="202E59"/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[MISUO - Your Full Name (version 1).xlsb.xlsx]pivot tables!PivotTable19</c:name>
    <c:fmtId val="3"/>
  </c:pivotSource>
  <c:chart>
    <c:autoTitleDeleted val="1"/>
    <c:pivotFmts>
      <c:pivotFmt>
        <c:idx val="0"/>
        <c:spPr>
          <a:solidFill>
            <a:srgbClr val="8C031C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C031C"/>
          </a:solidFill>
          <a:ln w="19050"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494208494208499"/>
                  <c:h val="0.239176245210728"/>
                </c:manualLayout>
              </c15:layout>
            </c:ext>
          </c:extLst>
        </c:dLbl>
      </c:pivotFmt>
      <c:pivotFmt>
        <c:idx val="2"/>
        <c:spPr>
          <a:solidFill>
            <a:srgbClr val="FF0000"/>
          </a:solidFill>
          <a:ln w="19050">
            <a:noFill/>
          </a:ln>
          <a:effectLst/>
        </c:spPr>
      </c:pivotFmt>
      <c:pivotFmt>
        <c:idx val="3"/>
        <c:spPr>
          <a:solidFill>
            <a:srgbClr val="E23C48"/>
          </a:solidFill>
          <a:ln w="19050"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3046040185147803E-2"/>
          <c:y val="0.297224075804084"/>
          <c:w val="0.60223396220771597"/>
          <c:h val="0.65141485588569503"/>
        </c:manualLayout>
      </c:layout>
      <c:pieChart>
        <c:varyColors val="1"/>
        <c:ser>
          <c:idx val="0"/>
          <c:order val="0"/>
          <c:tx>
            <c:strRef>
              <c:f>'pivot tables'!$AR$14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C031C"/>
            </a:solidFill>
            <a:ln w="19050">
              <a:noFill/>
            </a:ln>
          </c:spPr>
          <c:dPt>
            <c:idx val="0"/>
            <c:bubble3D val="0"/>
            <c:spPr>
              <a:solidFill>
                <a:srgbClr val="8C031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F0-4C47-B011-2D86A592B323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F0-4C47-B011-2D86A592B323}"/>
              </c:ext>
            </c:extLst>
          </c:dPt>
          <c:dPt>
            <c:idx val="2"/>
            <c:bubble3D val="0"/>
            <c:spPr>
              <a:solidFill>
                <a:srgbClr val="E23C4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CF0-4C47-B011-2D86A592B323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494208494208499"/>
                      <c:h val="0.23917624521072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CF0-4C47-B011-2D86A592B3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tables'!$AQ$15:$AQ$18</c:f>
              <c:strCache>
                <c:ptCount val="3"/>
                <c:pt idx="0">
                  <c:v>تم التسليم</c:v>
                </c:pt>
                <c:pt idx="1">
                  <c:v>فشل التسليم</c:v>
                </c:pt>
                <c:pt idx="2">
                  <c:v>مرتجع</c:v>
                </c:pt>
              </c:strCache>
            </c:strRef>
          </c:cat>
          <c:val>
            <c:numRef>
              <c:f>'pivot tables'!$AR$15:$AR$18</c:f>
              <c:numCache>
                <c:formatCode>0.00%</c:formatCode>
                <c:ptCount val="3"/>
                <c:pt idx="0">
                  <c:v>0.81599999999999995</c:v>
                </c:pt>
                <c:pt idx="1">
                  <c:v>0.17599999999999999</c:v>
                </c:pt>
                <c:pt idx="2">
                  <c:v>8.0000000000000002E-3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F0-4C47-B011-2D86A592B3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4484bd9-ec44-496b-b2a5-df3660430cf3}"/>
      </c:ext>
    </c:extLst>
  </c:chart>
  <c:spPr>
    <a:solidFill>
      <a:srgbClr val="202E59"/>
    </a:solidFill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[MISUO - Your Full Name (version 1).xlsb.xlsx]pivot tables!PivotTable20</c:name>
    <c:fmtId val="4"/>
  </c:pivotSource>
  <c:chart>
    <c:autoTitleDeleted val="1"/>
    <c:pivotFmts>
      <c:pivotFmt>
        <c:idx val="0"/>
        <c:spPr>
          <a:solidFill>
            <a:srgbClr val="8C031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C031C"/>
          </a:solidFill>
          <a:ln>
            <a:noFill/>
          </a:ln>
          <a:effectLst/>
        </c:spPr>
        <c:dLbl>
          <c:idx val="0"/>
          <c:layout>
            <c:manualLayout>
              <c:x val="0"/>
              <c:y val="-4.9282584805238698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C031C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043010752688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8C031C"/>
          </a:solidFill>
          <a:ln>
            <a:noFill/>
          </a:ln>
          <a:effectLst/>
        </c:spPr>
        <c:dLbl>
          <c:idx val="0"/>
          <c:layout>
            <c:manualLayout>
              <c:x val="8.1263836646936097E-17"/>
              <c:y val="-0.161290322580644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8C031C"/>
          </a:solidFill>
          <a:ln>
            <a:noFill/>
          </a:ln>
          <a:effectLst/>
        </c:spPr>
        <c:dLbl>
          <c:idx val="0"/>
          <c:layout>
            <c:manualLayout>
              <c:x val="1.7730496453900499E-2"/>
              <c:y val="-0.2043010752688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7619047619047603E-2"/>
          <c:y val="2.9585132503598299E-2"/>
          <c:w val="0.90476190476190499"/>
          <c:h val="0.538387943442554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tables'!$AX$14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C031C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-4.9282584805238698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4B2-475C-86B7-3002DB4365C8}"/>
                </c:ext>
              </c:extLst>
            </c:dLbl>
            <c:dLbl>
              <c:idx val="3"/>
              <c:layout>
                <c:manualLayout>
                  <c:x val="0"/>
                  <c:y val="-0.2043010752688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B2-475C-86B7-3002DB4365C8}"/>
                </c:ext>
              </c:extLst>
            </c:dLbl>
            <c:dLbl>
              <c:idx val="5"/>
              <c:layout>
                <c:manualLayout>
                  <c:x val="8.1263836646936097E-17"/>
                  <c:y val="-0.1612903225806449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4B2-475C-86B7-3002DB4365C8}"/>
                </c:ext>
              </c:extLst>
            </c:dLbl>
            <c:dLbl>
              <c:idx val="7"/>
              <c:layout>
                <c:manualLayout>
                  <c:x val="1.7730496453900499E-2"/>
                  <c:y val="-0.2043010752688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B2-475C-86B7-3002DB4365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tables'!$AW$15:$AW$23</c:f>
              <c:strCache>
                <c:ptCount val="8"/>
                <c:pt idx="0">
                  <c:v>القاهرة</c:v>
                </c:pt>
                <c:pt idx="1">
                  <c:v>الجيزة</c:v>
                </c:pt>
                <c:pt idx="2">
                  <c:v>السويس</c:v>
                </c:pt>
                <c:pt idx="3">
                  <c:v>الإسكندرية</c:v>
                </c:pt>
                <c:pt idx="4">
                  <c:v>القليوبية</c:v>
                </c:pt>
                <c:pt idx="5">
                  <c:v>البحر الأحمر</c:v>
                </c:pt>
                <c:pt idx="6">
                  <c:v>مطروح</c:v>
                </c:pt>
                <c:pt idx="7">
                  <c:v>أسيوط</c:v>
                </c:pt>
              </c:strCache>
            </c:strRef>
          </c:cat>
          <c:val>
            <c:numRef>
              <c:f>'pivot tables'!$AX$15:$AX$23</c:f>
              <c:numCache>
                <c:formatCode>_-* #,##0_-;\-* #,##0_-;_-* "-"??_-;_-@_-</c:formatCode>
                <c:ptCount val="8"/>
                <c:pt idx="0">
                  <c:v>672672.91</c:v>
                </c:pt>
                <c:pt idx="1">
                  <c:v>260458</c:v>
                </c:pt>
                <c:pt idx="2">
                  <c:v>72571.170106666701</c:v>
                </c:pt>
                <c:pt idx="3">
                  <c:v>54762</c:v>
                </c:pt>
                <c:pt idx="4">
                  <c:v>47827</c:v>
                </c:pt>
                <c:pt idx="5">
                  <c:v>41640</c:v>
                </c:pt>
                <c:pt idx="6">
                  <c:v>24288</c:v>
                </c:pt>
                <c:pt idx="7">
                  <c:v>12999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B2-475C-86B7-3002DB4365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36852592"/>
        <c:axId val="1436852952"/>
      </c:barChart>
      <c:catAx>
        <c:axId val="1436852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852952"/>
        <c:crosses val="autoZero"/>
        <c:auto val="1"/>
        <c:lblAlgn val="ctr"/>
        <c:lblOffset val="100"/>
        <c:noMultiLvlLbl val="0"/>
      </c:catAx>
      <c:valAx>
        <c:axId val="1436852952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143685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1b5aec91-8717-4f99-ad8d-80f56000bbf9}"/>
      </c:ext>
    </c:extLst>
  </c:chart>
  <c:spPr>
    <a:solidFill>
      <a:srgbClr val="202E59"/>
    </a:solidFill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[MISUO - Your Full Name (version 1).xlsb.xlsx]pivot tables!PivotTable21</c:name>
    <c:fmtId val="5"/>
  </c:pivotSource>
  <c:chart>
    <c:autoTitleDeleted val="1"/>
    <c:pivotFmts>
      <c:pivotFmt>
        <c:idx val="0"/>
        <c:spPr>
          <a:solidFill>
            <a:srgbClr val="FF0000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 w="19050">
            <a:noFill/>
          </a:ln>
          <a:effectLst/>
        </c:spPr>
        <c:dLbl>
          <c:idx val="0"/>
          <c:layout>
            <c:manualLayout>
              <c:x val="0.16326530612244899"/>
              <c:y val="4.57875457875457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891156462585"/>
                  <c:h val="0.109753107784604"/>
                </c:manualLayout>
              </c15:layout>
            </c:ext>
          </c:extLst>
        </c:dLbl>
      </c:pivotFmt>
      <c:pivotFmt>
        <c:idx val="2"/>
        <c:spPr>
          <a:solidFill>
            <a:srgbClr val="FF0000"/>
          </a:solidFill>
          <a:ln w="19050">
            <a:noFill/>
          </a:ln>
          <a:effectLst/>
        </c:spPr>
        <c:dLbl>
          <c:idx val="0"/>
          <c:layout>
            <c:manualLayout>
              <c:x val="-0.115646258503401"/>
              <c:y val="-5.49450549450549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tables'!$BD$14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 w="19050">
              <a:noFill/>
            </a:ln>
          </c:spPr>
          <c:dPt>
            <c:idx val="0"/>
            <c:bubble3D val="0"/>
            <c:spPr>
              <a:solidFill>
                <a:srgbClr val="C0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CF9-4A73-95A7-116F8F285BA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F9-4A73-95A7-116F8F285BAC}"/>
              </c:ext>
            </c:extLst>
          </c:dPt>
          <c:dLbls>
            <c:dLbl>
              <c:idx val="0"/>
              <c:layout>
                <c:manualLayout>
                  <c:x val="0.16326530612244899"/>
                  <c:y val="4.578754578754579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GB" sz="900" b="0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891156462585"/>
                      <c:h val="0.10975310778460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CF9-4A73-95A7-116F8F285BAC}"/>
                </c:ext>
              </c:extLst>
            </c:dLbl>
            <c:dLbl>
              <c:idx val="1"/>
              <c:layout>
                <c:manualLayout>
                  <c:x val="-0.115646258503401"/>
                  <c:y val="-5.49450549450549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CF9-4A73-95A7-116F8F285B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tables'!$BC$15:$BC$17</c:f>
              <c:strCache>
                <c:ptCount val="2"/>
                <c:pt idx="0">
                  <c:v>افراد</c:v>
                </c:pt>
                <c:pt idx="1">
                  <c:v>شركات</c:v>
                </c:pt>
              </c:strCache>
            </c:strRef>
          </c:cat>
          <c:val>
            <c:numRef>
              <c:f>'pivot tables'!$BD$15:$BD$17</c:f>
              <c:numCache>
                <c:formatCode>General</c:formatCode>
                <c:ptCount val="2"/>
                <c:pt idx="0">
                  <c:v>91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F9-4A73-95A7-116F8F285B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220614-93ad-4179-bc28-f2c9be05771c}"/>
      </c:ext>
    </c:extLst>
  </c:chart>
  <c:spPr>
    <a:solidFill>
      <a:srgbClr val="202E59"/>
    </a:solidFill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[MISUO - Your Full Name (version 1).xlsb.xlsx]pivot tables!PivotTable24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23C48"/>
          </a:solidFill>
          <a:ln w="19050">
            <a:noFill/>
          </a:ln>
          <a:effectLst/>
        </c:spPr>
      </c:pivotFmt>
      <c:pivotFmt>
        <c:idx val="2"/>
        <c:spPr>
          <a:solidFill>
            <a:srgbClr val="F17F97"/>
          </a:solidFill>
          <a:ln w="19050">
            <a:noFill/>
          </a:ln>
          <a:effectLst/>
        </c:spPr>
      </c:pivotFmt>
      <c:pivotFmt>
        <c:idx val="3"/>
        <c:spPr>
          <a:solidFill>
            <a:srgbClr val="FF0000"/>
          </a:solidFill>
          <a:ln w="19050">
            <a:noFill/>
          </a:ln>
          <a:effectLst/>
        </c:spPr>
      </c:pivotFmt>
      <c:pivotFmt>
        <c:idx val="4"/>
        <c:spPr>
          <a:solidFill>
            <a:srgbClr val="8C031C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tables'!$BP$12</c:f>
              <c:strCache>
                <c:ptCount val="1"/>
                <c:pt idx="0">
                  <c:v>Total</c:v>
                </c:pt>
              </c:strCache>
            </c:strRef>
          </c:tx>
          <c:spPr>
            <a:ln w="19050">
              <a:noFill/>
            </a:ln>
          </c:spPr>
          <c:dPt>
            <c:idx val="0"/>
            <c:bubble3D val="0"/>
            <c:spPr>
              <a:solidFill>
                <a:srgbClr val="E23C4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824-4465-83B8-7CBA19CABDDD}"/>
              </c:ext>
            </c:extLst>
          </c:dPt>
          <c:dPt>
            <c:idx val="1"/>
            <c:bubble3D val="0"/>
            <c:spPr>
              <a:solidFill>
                <a:srgbClr val="F17F9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824-4465-83B8-7CBA19CABDD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824-4465-83B8-7CBA19CABDDD}"/>
              </c:ext>
            </c:extLst>
          </c:dPt>
          <c:dPt>
            <c:idx val="3"/>
            <c:bubble3D val="0"/>
            <c:spPr>
              <a:solidFill>
                <a:srgbClr val="8C031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824-4465-83B8-7CBA19CABD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tables'!$BO$13:$BO$17</c:f>
              <c:strCache>
                <c:ptCount val="4"/>
                <c:pt idx="0">
                  <c:v>حساب شركه</c:v>
                </c:pt>
                <c:pt idx="1">
                  <c:v>غير معروف</c:v>
                </c:pt>
                <c:pt idx="2">
                  <c:v>كاش</c:v>
                </c:pt>
                <c:pt idx="3">
                  <c:v>مسبق الدفع</c:v>
                </c:pt>
              </c:strCache>
            </c:strRef>
          </c:cat>
          <c:val>
            <c:numRef>
              <c:f>'pivot tables'!$BP$13:$BP$17</c:f>
              <c:numCache>
                <c:formatCode>0.00%</c:formatCode>
                <c:ptCount val="4"/>
                <c:pt idx="0">
                  <c:v>0.112</c:v>
                </c:pt>
                <c:pt idx="1">
                  <c:v>3.2000000000000001E-2</c:v>
                </c:pt>
                <c:pt idx="2">
                  <c:v>0.34399999999999997</c:v>
                </c:pt>
                <c:pt idx="3">
                  <c:v>0.51200000000000001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824-4465-83B8-7CBA19CABD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689c943-c609-47c5-abdd-70f2d7244181}"/>
      </c:ext>
    </c:extLst>
  </c:chart>
  <c:spPr>
    <a:solidFill>
      <a:srgbClr val="202E59"/>
    </a:solidFill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1.jpeg"/><Relationship Id="rId4" Type="http://schemas.openxmlformats.org/officeDocument/2006/relationships/chart" Target="../charts/chart4.xml"/><Relationship Id="rId9" Type="http://schemas.openxmlformats.org/officeDocument/2006/relationships/hyperlink" Target="#'Misuo (2)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0</xdr:row>
      <xdr:rowOff>53340</xdr:rowOff>
    </xdr:from>
    <xdr:to>
      <xdr:col>23</xdr:col>
      <xdr:colOff>335280</xdr:colOff>
      <xdr:row>3</xdr:row>
      <xdr:rowOff>144780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400300" y="53340"/>
          <a:ext cx="11955780" cy="640080"/>
        </a:xfrm>
        <a:prstGeom prst="roundRect">
          <a:avLst/>
        </a:prstGeom>
        <a:solidFill>
          <a:srgbClr val="202E59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83820</xdr:colOff>
      <xdr:row>0</xdr:row>
      <xdr:rowOff>53340</xdr:rowOff>
    </xdr:from>
    <xdr:to>
      <xdr:col>3</xdr:col>
      <xdr:colOff>525780</xdr:colOff>
      <xdr:row>30</xdr:row>
      <xdr:rowOff>38100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83820" y="53340"/>
          <a:ext cx="2270760" cy="5471160"/>
        </a:xfrm>
        <a:prstGeom prst="roundRect">
          <a:avLst/>
        </a:prstGeom>
        <a:solidFill>
          <a:srgbClr val="202E59"/>
        </a:solidFill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20</xdr:col>
      <xdr:colOff>381000</xdr:colOff>
      <xdr:row>4</xdr:row>
      <xdr:rowOff>7620</xdr:rowOff>
    </xdr:from>
    <xdr:to>
      <xdr:col>23</xdr:col>
      <xdr:colOff>358140</xdr:colOff>
      <xdr:row>30</xdr:row>
      <xdr:rowOff>45720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2573000" y="739140"/>
          <a:ext cx="1805940" cy="4792980"/>
        </a:xfrm>
        <a:prstGeom prst="roundRect">
          <a:avLst/>
        </a:prstGeom>
        <a:solidFill>
          <a:srgbClr val="202E59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134620</xdr:colOff>
      <xdr:row>3</xdr:row>
      <xdr:rowOff>177800</xdr:rowOff>
    </xdr:from>
    <xdr:to>
      <xdr:col>12</xdr:col>
      <xdr:colOff>73660</xdr:colOff>
      <xdr:row>10</xdr:row>
      <xdr:rowOff>177800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5011420" y="726440"/>
          <a:ext cx="2377440" cy="1280160"/>
        </a:xfrm>
        <a:prstGeom prst="roundRect">
          <a:avLst/>
        </a:prstGeom>
        <a:solidFill>
          <a:srgbClr val="202E59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297180</xdr:colOff>
      <xdr:row>3</xdr:row>
      <xdr:rowOff>175260</xdr:rowOff>
    </xdr:from>
    <xdr:to>
      <xdr:col>20</xdr:col>
      <xdr:colOff>289560</xdr:colOff>
      <xdr:row>10</xdr:row>
      <xdr:rowOff>175260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0050780" y="723900"/>
          <a:ext cx="2430780" cy="1280160"/>
        </a:xfrm>
        <a:prstGeom prst="roundRect">
          <a:avLst/>
        </a:prstGeom>
        <a:solidFill>
          <a:srgbClr val="202E59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238760</xdr:colOff>
      <xdr:row>3</xdr:row>
      <xdr:rowOff>172720</xdr:rowOff>
    </xdr:from>
    <xdr:to>
      <xdr:col>16</xdr:col>
      <xdr:colOff>177800</xdr:colOff>
      <xdr:row>10</xdr:row>
      <xdr:rowOff>172720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7553960" y="721360"/>
          <a:ext cx="2377440" cy="1280160"/>
        </a:xfrm>
        <a:prstGeom prst="roundRect">
          <a:avLst/>
        </a:prstGeom>
        <a:solidFill>
          <a:srgbClr val="202E59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30480</xdr:colOff>
      <xdr:row>4</xdr:row>
      <xdr:rowOff>0</xdr:rowOff>
    </xdr:from>
    <xdr:to>
      <xdr:col>7</xdr:col>
      <xdr:colOff>579120</xdr:colOff>
      <xdr:row>11</xdr:row>
      <xdr:rowOff>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2468880" y="731520"/>
          <a:ext cx="2377440" cy="1280160"/>
        </a:xfrm>
        <a:prstGeom prst="roundRect">
          <a:avLst/>
        </a:prstGeom>
        <a:solidFill>
          <a:srgbClr val="202E59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533400</xdr:colOff>
      <xdr:row>11</xdr:row>
      <xdr:rowOff>53340</xdr:rowOff>
    </xdr:from>
    <xdr:to>
      <xdr:col>12</xdr:col>
      <xdr:colOff>487680</xdr:colOff>
      <xdr:row>20</xdr:row>
      <xdr:rowOff>45720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4800600" y="2065020"/>
          <a:ext cx="3002280" cy="1638300"/>
        </a:xfrm>
        <a:prstGeom prst="roundRect">
          <a:avLst/>
        </a:prstGeom>
        <a:solidFill>
          <a:srgbClr val="202E59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601980</xdr:colOff>
      <xdr:row>20</xdr:row>
      <xdr:rowOff>129540</xdr:rowOff>
    </xdr:from>
    <xdr:to>
      <xdr:col>8</xdr:col>
      <xdr:colOff>137160</xdr:colOff>
      <xdr:row>30</xdr:row>
      <xdr:rowOff>53340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2430780" y="3787140"/>
          <a:ext cx="2583180" cy="1752600"/>
        </a:xfrm>
        <a:prstGeom prst="roundRect">
          <a:avLst/>
        </a:prstGeom>
        <a:solidFill>
          <a:srgbClr val="202E59"/>
        </a:solidFill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571500</xdr:colOff>
      <xdr:row>11</xdr:row>
      <xdr:rowOff>53340</xdr:rowOff>
    </xdr:from>
    <xdr:to>
      <xdr:col>7</xdr:col>
      <xdr:colOff>495300</xdr:colOff>
      <xdr:row>20</xdr:row>
      <xdr:rowOff>53340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2400300" y="2065020"/>
          <a:ext cx="2362200" cy="1645920"/>
        </a:xfrm>
        <a:prstGeom prst="roundRect">
          <a:avLst/>
        </a:prstGeom>
        <a:solidFill>
          <a:srgbClr val="202E59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243840</xdr:colOff>
      <xdr:row>20</xdr:row>
      <xdr:rowOff>91440</xdr:rowOff>
    </xdr:from>
    <xdr:to>
      <xdr:col>13</xdr:col>
      <xdr:colOff>297180</xdr:colOff>
      <xdr:row>30</xdr:row>
      <xdr:rowOff>15240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5120640" y="3749040"/>
          <a:ext cx="3101340" cy="1752600"/>
        </a:xfrm>
        <a:prstGeom prst="roundRect">
          <a:avLst/>
        </a:prstGeom>
        <a:solidFill>
          <a:srgbClr val="202E59"/>
        </a:solidFill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327660</xdr:colOff>
      <xdr:row>20</xdr:row>
      <xdr:rowOff>91440</xdr:rowOff>
    </xdr:from>
    <xdr:to>
      <xdr:col>20</xdr:col>
      <xdr:colOff>327660</xdr:colOff>
      <xdr:row>30</xdr:row>
      <xdr:rowOff>15240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8252460" y="3749040"/>
          <a:ext cx="4267200" cy="1752600"/>
        </a:xfrm>
        <a:prstGeom prst="roundRect">
          <a:avLst/>
        </a:prstGeom>
        <a:solidFill>
          <a:srgbClr val="202E59"/>
        </a:solidFill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525780</xdr:colOff>
      <xdr:row>11</xdr:row>
      <xdr:rowOff>83820</xdr:rowOff>
    </xdr:from>
    <xdr:to>
      <xdr:col>16</xdr:col>
      <xdr:colOff>495300</xdr:colOff>
      <xdr:row>20</xdr:row>
      <xdr:rowOff>45720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7840980" y="2095500"/>
          <a:ext cx="2407920" cy="1607820"/>
        </a:xfrm>
        <a:prstGeom prst="roundRect">
          <a:avLst/>
        </a:prstGeom>
        <a:solidFill>
          <a:srgbClr val="202E59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541020</xdr:colOff>
      <xdr:row>11</xdr:row>
      <xdr:rowOff>99060</xdr:rowOff>
    </xdr:from>
    <xdr:to>
      <xdr:col>20</xdr:col>
      <xdr:colOff>335280</xdr:colOff>
      <xdr:row>20</xdr:row>
      <xdr:rowOff>53340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10294620" y="2110740"/>
          <a:ext cx="2232660" cy="1600200"/>
        </a:xfrm>
        <a:prstGeom prst="roundRect">
          <a:avLst/>
        </a:prstGeom>
        <a:solidFill>
          <a:srgbClr val="202E59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213360</xdr:colOff>
      <xdr:row>0</xdr:row>
      <xdr:rowOff>167640</xdr:rowOff>
    </xdr:from>
    <xdr:to>
      <xdr:col>15</xdr:col>
      <xdr:colOff>518160</xdr:colOff>
      <xdr:row>2</xdr:row>
      <xdr:rowOff>167640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6309360" y="167640"/>
          <a:ext cx="3352800" cy="365760"/>
        </a:xfrm>
        <a:prstGeom prst="rect">
          <a:avLst/>
        </a:prstGeom>
        <a:solidFill>
          <a:srgbClr val="202E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000">
              <a:solidFill>
                <a:schemeClr val="bg2">
                  <a:lumMod val="90000"/>
                </a:schemeClr>
              </a:solidFill>
            </a:rPr>
            <a:t>Sales</a:t>
          </a:r>
          <a:r>
            <a:rPr lang="en-GB" sz="2000" baseline="0">
              <a:solidFill>
                <a:schemeClr val="bg2">
                  <a:lumMod val="90000"/>
                </a:schemeClr>
              </a:solidFill>
            </a:rPr>
            <a:t> Dashboard</a:t>
          </a:r>
        </a:p>
      </xdr:txBody>
    </xdr:sp>
    <xdr:clientData/>
  </xdr:twoCellAnchor>
  <xdr:twoCellAnchor>
    <xdr:from>
      <xdr:col>17</xdr:col>
      <xdr:colOff>358140</xdr:colOff>
      <xdr:row>1</xdr:row>
      <xdr:rowOff>0</xdr:rowOff>
    </xdr:from>
    <xdr:to>
      <xdr:col>23</xdr:col>
      <xdr:colOff>53340</xdr:colOff>
      <xdr:row>3</xdr:row>
      <xdr:rowOff>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10721340" y="182880"/>
          <a:ext cx="3352800" cy="365760"/>
        </a:xfrm>
        <a:prstGeom prst="rect">
          <a:avLst/>
        </a:prstGeom>
        <a:solidFill>
          <a:srgbClr val="202E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GB" sz="2000">
              <a:solidFill>
                <a:schemeClr val="bg2">
                  <a:lumMod val="90000"/>
                </a:schemeClr>
              </a:solidFill>
              <a:latin typeface="+mn-lt"/>
              <a:ea typeface="+mn-ea"/>
              <a:cs typeface="+mn-cs"/>
            </a:rPr>
            <a:t>Misuo company</a:t>
          </a:r>
        </a:p>
      </xdr:txBody>
    </xdr:sp>
    <xdr:clientData/>
  </xdr:twoCellAnchor>
  <xdr:twoCellAnchor>
    <xdr:from>
      <xdr:col>13</xdr:col>
      <xdr:colOff>7620</xdr:colOff>
      <xdr:row>12</xdr:row>
      <xdr:rowOff>0</xdr:rowOff>
    </xdr:from>
    <xdr:to>
      <xdr:col>16</xdr:col>
      <xdr:colOff>350520</xdr:colOff>
      <xdr:row>19</xdr:row>
      <xdr:rowOff>160020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335280</xdr:colOff>
      <xdr:row>22</xdr:row>
      <xdr:rowOff>167640</xdr:rowOff>
    </xdr:from>
    <xdr:to>
      <xdr:col>13</xdr:col>
      <xdr:colOff>175260</xdr:colOff>
      <xdr:row>29</xdr:row>
      <xdr:rowOff>91440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502920</xdr:colOff>
      <xdr:row>6</xdr:row>
      <xdr:rowOff>45720</xdr:rowOff>
    </xdr:from>
    <xdr:to>
      <xdr:col>23</xdr:col>
      <xdr:colOff>289560</xdr:colOff>
      <xdr:row>29</xdr:row>
      <xdr:rowOff>121920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457200</xdr:colOff>
      <xdr:row>22</xdr:row>
      <xdr:rowOff>91440</xdr:rowOff>
    </xdr:from>
    <xdr:to>
      <xdr:col>20</xdr:col>
      <xdr:colOff>205740</xdr:colOff>
      <xdr:row>29</xdr:row>
      <xdr:rowOff>80010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60960</xdr:colOff>
      <xdr:row>12</xdr:row>
      <xdr:rowOff>114300</xdr:rowOff>
    </xdr:from>
    <xdr:to>
      <xdr:col>20</xdr:col>
      <xdr:colOff>205740</xdr:colOff>
      <xdr:row>19</xdr:row>
      <xdr:rowOff>160020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13</xdr:row>
      <xdr:rowOff>30480</xdr:rowOff>
    </xdr:from>
    <xdr:to>
      <xdr:col>12</xdr:col>
      <xdr:colOff>426720</xdr:colOff>
      <xdr:row>19</xdr:row>
      <xdr:rowOff>114300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45720</xdr:colOff>
      <xdr:row>13</xdr:row>
      <xdr:rowOff>7620</xdr:rowOff>
    </xdr:from>
    <xdr:to>
      <xdr:col>7</xdr:col>
      <xdr:colOff>396240</xdr:colOff>
      <xdr:row>19</xdr:row>
      <xdr:rowOff>121920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152400</xdr:colOff>
      <xdr:row>22</xdr:row>
      <xdr:rowOff>99060</xdr:rowOff>
    </xdr:from>
    <xdr:to>
      <xdr:col>8</xdr:col>
      <xdr:colOff>30480</xdr:colOff>
      <xdr:row>30</xdr:row>
      <xdr:rowOff>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365760</xdr:colOff>
      <xdr:row>4</xdr:row>
      <xdr:rowOff>38100</xdr:rowOff>
    </xdr:from>
    <xdr:to>
      <xdr:col>7</xdr:col>
      <xdr:colOff>182880</xdr:colOff>
      <xdr:row>6</xdr:row>
      <xdr:rowOff>38100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 txBox="1"/>
      </xdr:nvSpPr>
      <xdr:spPr>
        <a:xfrm>
          <a:off x="2804160" y="769620"/>
          <a:ext cx="1645920" cy="365760"/>
        </a:xfrm>
        <a:prstGeom prst="rect">
          <a:avLst/>
        </a:prstGeom>
        <a:solidFill>
          <a:srgbClr val="202E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800">
              <a:solidFill>
                <a:schemeClr val="bg2">
                  <a:lumMod val="90000"/>
                </a:schemeClr>
              </a:solidFill>
            </a:rPr>
            <a:t>Total</a:t>
          </a:r>
          <a:r>
            <a:rPr lang="en-GB" sz="1800" baseline="0">
              <a:solidFill>
                <a:schemeClr val="bg2">
                  <a:lumMod val="90000"/>
                </a:schemeClr>
              </a:solidFill>
            </a:rPr>
            <a:t> Sales</a:t>
          </a:r>
        </a:p>
      </xdr:txBody>
    </xdr:sp>
    <xdr:clientData/>
  </xdr:twoCellAnchor>
  <xdr:twoCellAnchor>
    <xdr:from>
      <xdr:col>16</xdr:col>
      <xdr:colOff>373380</xdr:colOff>
      <xdr:row>4</xdr:row>
      <xdr:rowOff>38100</xdr:rowOff>
    </xdr:from>
    <xdr:to>
      <xdr:col>20</xdr:col>
      <xdr:colOff>152400</xdr:colOff>
      <xdr:row>6</xdr:row>
      <xdr:rowOff>38100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 txBox="1"/>
      </xdr:nvSpPr>
      <xdr:spPr>
        <a:xfrm>
          <a:off x="10126980" y="769620"/>
          <a:ext cx="2217420" cy="365760"/>
        </a:xfrm>
        <a:prstGeom prst="rect">
          <a:avLst/>
        </a:prstGeom>
        <a:solidFill>
          <a:srgbClr val="202E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800" baseline="0">
              <a:solidFill>
                <a:schemeClr val="bg2">
                  <a:lumMod val="90000"/>
                </a:schemeClr>
              </a:solidFill>
            </a:rPr>
            <a:t>AVG. Days to deliver</a:t>
          </a:r>
        </a:p>
      </xdr:txBody>
    </xdr:sp>
    <xdr:clientData/>
  </xdr:twoCellAnchor>
  <xdr:twoCellAnchor>
    <xdr:from>
      <xdr:col>13</xdr:col>
      <xdr:colOff>22860</xdr:colOff>
      <xdr:row>4</xdr:row>
      <xdr:rowOff>30480</xdr:rowOff>
    </xdr:from>
    <xdr:to>
      <xdr:col>15</xdr:col>
      <xdr:colOff>449580</xdr:colOff>
      <xdr:row>6</xdr:row>
      <xdr:rowOff>30480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 txBox="1"/>
      </xdr:nvSpPr>
      <xdr:spPr>
        <a:xfrm>
          <a:off x="7947660" y="762000"/>
          <a:ext cx="1645920" cy="365760"/>
        </a:xfrm>
        <a:prstGeom prst="rect">
          <a:avLst/>
        </a:prstGeom>
        <a:solidFill>
          <a:srgbClr val="202E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GB" sz="1800">
              <a:solidFill>
                <a:schemeClr val="bg2">
                  <a:lumMod val="90000"/>
                </a:schemeClr>
              </a:solidFill>
              <a:latin typeface="+mn-lt"/>
              <a:ea typeface="+mn-ea"/>
              <a:cs typeface="+mn-cs"/>
            </a:rPr>
            <a:t>AVG. sales</a:t>
          </a:r>
        </a:p>
      </xdr:txBody>
    </xdr:sp>
    <xdr:clientData/>
  </xdr:twoCellAnchor>
  <xdr:twoCellAnchor>
    <xdr:from>
      <xdr:col>8</xdr:col>
      <xdr:colOff>518160</xdr:colOff>
      <xdr:row>4</xdr:row>
      <xdr:rowOff>30480</xdr:rowOff>
    </xdr:from>
    <xdr:to>
      <xdr:col>11</xdr:col>
      <xdr:colOff>335280</xdr:colOff>
      <xdr:row>6</xdr:row>
      <xdr:rowOff>30480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 txBox="1"/>
      </xdr:nvSpPr>
      <xdr:spPr>
        <a:xfrm>
          <a:off x="5394960" y="762000"/>
          <a:ext cx="1645920" cy="365760"/>
        </a:xfrm>
        <a:prstGeom prst="rect">
          <a:avLst/>
        </a:prstGeom>
        <a:solidFill>
          <a:srgbClr val="202E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800">
              <a:solidFill>
                <a:schemeClr val="bg2">
                  <a:lumMod val="90000"/>
                </a:schemeClr>
              </a:solidFill>
            </a:rPr>
            <a:t>Total</a:t>
          </a:r>
          <a:r>
            <a:rPr lang="en-GB" sz="1800" baseline="0">
              <a:solidFill>
                <a:schemeClr val="bg2">
                  <a:lumMod val="90000"/>
                </a:schemeClr>
              </a:solidFill>
            </a:rPr>
            <a:t> Orders</a:t>
          </a:r>
        </a:p>
      </xdr:txBody>
    </xdr:sp>
    <xdr:clientData/>
  </xdr:twoCellAnchor>
  <xdr:twoCellAnchor>
    <xdr:from>
      <xdr:col>4</xdr:col>
      <xdr:colOff>426720</xdr:colOff>
      <xdr:row>6</xdr:row>
      <xdr:rowOff>160020</xdr:rowOff>
    </xdr:from>
    <xdr:to>
      <xdr:col>7</xdr:col>
      <xdr:colOff>99060</xdr:colOff>
      <xdr:row>9</xdr:row>
      <xdr:rowOff>60960</xdr:rowOff>
    </xdr:to>
    <xdr:sp macro="" textlink="'pivot tables'!N21">
      <xdr:nvSpPr>
        <xdr:cNvPr id="38" name="TextBox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 txBox="1"/>
      </xdr:nvSpPr>
      <xdr:spPr>
        <a:xfrm>
          <a:off x="2865120" y="1257300"/>
          <a:ext cx="1501140" cy="449580"/>
        </a:xfrm>
        <a:prstGeom prst="rect">
          <a:avLst/>
        </a:prstGeom>
        <a:solidFill>
          <a:srgbClr val="202E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83EB29E5-1375-486F-9CDC-6FD3F4B5C092}" type="TxLink">
            <a:rPr lang="en-US" sz="2400" b="1" i="0" u="none" strike="noStrike">
              <a:solidFill>
                <a:schemeClr val="bg2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pPr algn="ctr"/>
            <a:t> </a:t>
          </a:fld>
          <a:endParaRPr lang="en-US" sz="4000" b="1" i="0" u="none" strike="noStrike">
            <a:solidFill>
              <a:schemeClr val="bg2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17</xdr:col>
      <xdr:colOff>129540</xdr:colOff>
      <xdr:row>7</xdr:row>
      <xdr:rowOff>0</xdr:rowOff>
    </xdr:from>
    <xdr:to>
      <xdr:col>19</xdr:col>
      <xdr:colOff>411480</xdr:colOff>
      <xdr:row>9</xdr:row>
      <xdr:rowOff>83820</xdr:rowOff>
    </xdr:to>
    <xdr:sp macro="" textlink="'pivot tables'!AF26">
      <xdr:nvSpPr>
        <xdr:cNvPr id="39" name="TextBox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 txBox="1"/>
      </xdr:nvSpPr>
      <xdr:spPr>
        <a:xfrm>
          <a:off x="10492740" y="1280160"/>
          <a:ext cx="1501140" cy="449580"/>
        </a:xfrm>
        <a:prstGeom prst="rect">
          <a:avLst/>
        </a:prstGeom>
        <a:solidFill>
          <a:srgbClr val="202E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A5AAF32-7797-4E59-876E-AA76F029AC8F}" type="TxLink">
            <a:rPr lang="en-US" sz="2400" b="1" i="0" u="none" strike="noStrike">
              <a:solidFill>
                <a:schemeClr val="bg2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pPr algn="ctr"/>
            <a:t> </a:t>
          </a:fld>
          <a:endParaRPr lang="en-GB" sz="4000" b="1">
            <a:solidFill>
              <a:schemeClr val="bg2"/>
            </a:solidFill>
          </a:endParaRPr>
        </a:p>
      </xdr:txBody>
    </xdr:sp>
    <xdr:clientData/>
  </xdr:twoCellAnchor>
  <xdr:twoCellAnchor>
    <xdr:from>
      <xdr:col>13</xdr:col>
      <xdr:colOff>45720</xdr:colOff>
      <xdr:row>6</xdr:row>
      <xdr:rowOff>175260</xdr:rowOff>
    </xdr:from>
    <xdr:to>
      <xdr:col>15</xdr:col>
      <xdr:colOff>327660</xdr:colOff>
      <xdr:row>9</xdr:row>
      <xdr:rowOff>76200</xdr:rowOff>
    </xdr:to>
    <xdr:sp macro="" textlink="'pivot tables'!Z19">
      <xdr:nvSpPr>
        <xdr:cNvPr id="40" name="TextBox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 txBox="1"/>
      </xdr:nvSpPr>
      <xdr:spPr>
        <a:xfrm>
          <a:off x="7970520" y="1272540"/>
          <a:ext cx="1501140" cy="449580"/>
        </a:xfrm>
        <a:prstGeom prst="rect">
          <a:avLst/>
        </a:prstGeom>
        <a:solidFill>
          <a:srgbClr val="202E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3F9CF73C-57C6-4D9F-96E8-AEA36D651FEC}" type="TxLink">
            <a:rPr lang="en-US" sz="2400" b="1" i="0" u="none" strike="noStrike">
              <a:solidFill>
                <a:schemeClr val="bg2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pPr algn="ctr"/>
            <a:t> </a:t>
          </a:fld>
          <a:endParaRPr lang="en-GB" sz="4000" b="1">
            <a:solidFill>
              <a:schemeClr val="bg2"/>
            </a:solidFill>
          </a:endParaRPr>
        </a:p>
      </xdr:txBody>
    </xdr:sp>
    <xdr:clientData/>
  </xdr:twoCellAnchor>
  <xdr:twoCellAnchor>
    <xdr:from>
      <xdr:col>8</xdr:col>
      <xdr:colOff>579120</xdr:colOff>
      <xdr:row>6</xdr:row>
      <xdr:rowOff>152400</xdr:rowOff>
    </xdr:from>
    <xdr:to>
      <xdr:col>11</xdr:col>
      <xdr:colOff>251460</xdr:colOff>
      <xdr:row>9</xdr:row>
      <xdr:rowOff>53340</xdr:rowOff>
    </xdr:to>
    <xdr:sp macro="" textlink="'pivot tables'!T27">
      <xdr:nvSpPr>
        <xdr:cNvPr id="41" name="TextBox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 txBox="1"/>
      </xdr:nvSpPr>
      <xdr:spPr>
        <a:xfrm>
          <a:off x="5455920" y="1249680"/>
          <a:ext cx="1501140" cy="449580"/>
        </a:xfrm>
        <a:prstGeom prst="rect">
          <a:avLst/>
        </a:prstGeom>
        <a:solidFill>
          <a:srgbClr val="202E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A2D142B-4714-49EF-BAD1-35E335600720}" type="TxLink">
            <a:rPr lang="en-US" sz="2400" b="1" i="0" u="none" strike="noStrike">
              <a:solidFill>
                <a:schemeClr val="bg2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pPr algn="ctr"/>
            <a:t> </a:t>
          </a:fld>
          <a:endParaRPr lang="en-GB" sz="4000" b="1">
            <a:solidFill>
              <a:schemeClr val="bg2"/>
            </a:solidFill>
          </a:endParaRPr>
        </a:p>
      </xdr:txBody>
    </xdr:sp>
    <xdr:clientData/>
  </xdr:twoCellAnchor>
  <xdr:twoCellAnchor>
    <xdr:from>
      <xdr:col>20</xdr:col>
      <xdr:colOff>510540</xdr:colOff>
      <xdr:row>4</xdr:row>
      <xdr:rowOff>99060</xdr:rowOff>
    </xdr:from>
    <xdr:to>
      <xdr:col>23</xdr:col>
      <xdr:colOff>190500</xdr:colOff>
      <xdr:row>6</xdr:row>
      <xdr:rowOff>99060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12702540" y="830580"/>
          <a:ext cx="1508760" cy="365760"/>
        </a:xfrm>
        <a:prstGeom prst="rect">
          <a:avLst/>
        </a:prstGeom>
        <a:solidFill>
          <a:srgbClr val="202E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600">
              <a:solidFill>
                <a:schemeClr val="bg2">
                  <a:lumMod val="90000"/>
                </a:schemeClr>
              </a:solidFill>
            </a:rPr>
            <a:t>Best color seller</a:t>
          </a:r>
          <a:endParaRPr lang="en-GB" sz="1600" baseline="0">
            <a:solidFill>
              <a:schemeClr val="bg2">
                <a:lumMod val="90000"/>
              </a:schemeClr>
            </a:solidFill>
          </a:endParaRPr>
        </a:p>
      </xdr:txBody>
    </xdr:sp>
    <xdr:clientData/>
  </xdr:twoCellAnchor>
  <xdr:twoCellAnchor>
    <xdr:from>
      <xdr:col>15</xdr:col>
      <xdr:colOff>297180</xdr:colOff>
      <xdr:row>20</xdr:row>
      <xdr:rowOff>114300</xdr:rowOff>
    </xdr:from>
    <xdr:to>
      <xdr:col>18</xdr:col>
      <xdr:colOff>243840</xdr:colOff>
      <xdr:row>22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9441180" y="3771900"/>
          <a:ext cx="1775460" cy="365760"/>
        </a:xfrm>
        <a:prstGeom prst="rect">
          <a:avLst/>
        </a:prstGeom>
        <a:solidFill>
          <a:srgbClr val="202E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800">
              <a:solidFill>
                <a:schemeClr val="bg2">
                  <a:lumMod val="90000"/>
                </a:schemeClr>
              </a:solidFill>
            </a:rPr>
            <a:t>Orders by month</a:t>
          </a:r>
          <a:endParaRPr lang="en-GB" sz="1800" baseline="0">
            <a:solidFill>
              <a:schemeClr val="bg2">
                <a:lumMod val="90000"/>
              </a:schemeClr>
            </a:solidFill>
          </a:endParaRPr>
        </a:p>
      </xdr:txBody>
    </xdr:sp>
    <xdr:clientData/>
  </xdr:twoCellAnchor>
  <xdr:twoCellAnchor>
    <xdr:from>
      <xdr:col>9</xdr:col>
      <xdr:colOff>342900</xdr:colOff>
      <xdr:row>20</xdr:row>
      <xdr:rowOff>121920</xdr:rowOff>
    </xdr:from>
    <xdr:to>
      <xdr:col>12</xdr:col>
      <xdr:colOff>243840</xdr:colOff>
      <xdr:row>23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5829300" y="3779520"/>
          <a:ext cx="1729740" cy="426720"/>
        </a:xfrm>
        <a:prstGeom prst="rect">
          <a:avLst/>
        </a:prstGeom>
        <a:solidFill>
          <a:srgbClr val="202E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600">
              <a:solidFill>
                <a:schemeClr val="bg2">
                  <a:lumMod val="90000"/>
                </a:schemeClr>
              </a:solidFill>
            </a:rPr>
            <a:t>best product seller</a:t>
          </a:r>
          <a:endParaRPr lang="en-GB" sz="1600" baseline="0">
            <a:solidFill>
              <a:schemeClr val="bg2">
                <a:lumMod val="90000"/>
              </a:schemeClr>
            </a:solidFill>
          </a:endParaRPr>
        </a:p>
      </xdr:txBody>
    </xdr:sp>
    <xdr:clientData/>
  </xdr:twoCellAnchor>
  <xdr:twoCellAnchor>
    <xdr:from>
      <xdr:col>17</xdr:col>
      <xdr:colOff>220980</xdr:colOff>
      <xdr:row>11</xdr:row>
      <xdr:rowOff>129540</xdr:rowOff>
    </xdr:from>
    <xdr:to>
      <xdr:col>20</xdr:col>
      <xdr:colOff>38100</xdr:colOff>
      <xdr:row>13</xdr:row>
      <xdr:rowOff>129540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10584180" y="2141220"/>
          <a:ext cx="1645920" cy="365760"/>
        </a:xfrm>
        <a:prstGeom prst="rect">
          <a:avLst/>
        </a:prstGeom>
        <a:solidFill>
          <a:srgbClr val="202E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800">
              <a:solidFill>
                <a:schemeClr val="bg2">
                  <a:lumMod val="90000"/>
                </a:schemeClr>
              </a:solidFill>
            </a:rPr>
            <a:t>Delivery Status</a:t>
          </a:r>
          <a:endParaRPr lang="en-GB" sz="1800" baseline="0">
            <a:solidFill>
              <a:schemeClr val="bg2">
                <a:lumMod val="90000"/>
              </a:schemeClr>
            </a:solidFill>
          </a:endParaRPr>
        </a:p>
      </xdr:txBody>
    </xdr:sp>
    <xdr:clientData/>
  </xdr:twoCellAnchor>
  <xdr:twoCellAnchor>
    <xdr:from>
      <xdr:col>13</xdr:col>
      <xdr:colOff>350520</xdr:colOff>
      <xdr:row>11</xdr:row>
      <xdr:rowOff>83820</xdr:rowOff>
    </xdr:from>
    <xdr:to>
      <xdr:col>16</xdr:col>
      <xdr:colOff>160020</xdr:colOff>
      <xdr:row>12</xdr:row>
      <xdr:rowOff>144780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8275320" y="2095500"/>
          <a:ext cx="1638300" cy="243840"/>
        </a:xfrm>
        <a:prstGeom prst="rect">
          <a:avLst/>
        </a:prstGeom>
        <a:solidFill>
          <a:srgbClr val="202E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600">
              <a:solidFill>
                <a:schemeClr val="bg2">
                  <a:lumMod val="90000"/>
                </a:schemeClr>
              </a:solidFill>
            </a:rPr>
            <a:t>sales by platform</a:t>
          </a:r>
          <a:endParaRPr lang="en-GB" sz="1600" baseline="0">
            <a:solidFill>
              <a:schemeClr val="bg2">
                <a:lumMod val="90000"/>
              </a:schemeClr>
            </a:solidFill>
          </a:endParaRPr>
        </a:p>
      </xdr:txBody>
    </xdr:sp>
    <xdr:clientData/>
  </xdr:twoCellAnchor>
  <xdr:twoCellAnchor>
    <xdr:from>
      <xdr:col>4</xdr:col>
      <xdr:colOff>289560</xdr:colOff>
      <xdr:row>11</xdr:row>
      <xdr:rowOff>91440</xdr:rowOff>
    </xdr:from>
    <xdr:to>
      <xdr:col>7</xdr:col>
      <xdr:colOff>106680</xdr:colOff>
      <xdr:row>13</xdr:row>
      <xdr:rowOff>91440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2727960" y="2103120"/>
          <a:ext cx="1645920" cy="365760"/>
        </a:xfrm>
        <a:prstGeom prst="rect">
          <a:avLst/>
        </a:prstGeom>
        <a:solidFill>
          <a:srgbClr val="202E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800">
              <a:solidFill>
                <a:schemeClr val="bg2">
                  <a:lumMod val="90000"/>
                </a:schemeClr>
              </a:solidFill>
            </a:rPr>
            <a:t>Costomer Type</a:t>
          </a:r>
          <a:endParaRPr lang="en-GB" sz="1800" baseline="0">
            <a:solidFill>
              <a:schemeClr val="bg2">
                <a:lumMod val="90000"/>
              </a:schemeClr>
            </a:solidFill>
          </a:endParaRPr>
        </a:p>
      </xdr:txBody>
    </xdr:sp>
    <xdr:clientData/>
  </xdr:twoCellAnchor>
  <xdr:twoCellAnchor>
    <xdr:from>
      <xdr:col>9</xdr:col>
      <xdr:colOff>53340</xdr:colOff>
      <xdr:row>11</xdr:row>
      <xdr:rowOff>68580</xdr:rowOff>
    </xdr:from>
    <xdr:to>
      <xdr:col>11</xdr:col>
      <xdr:colOff>480060</xdr:colOff>
      <xdr:row>13</xdr:row>
      <xdr:rowOff>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/>
      </xdr:nvSpPr>
      <xdr:spPr>
        <a:xfrm>
          <a:off x="5539740" y="2080260"/>
          <a:ext cx="1645920" cy="297180"/>
        </a:xfrm>
        <a:prstGeom prst="rect">
          <a:avLst/>
        </a:prstGeom>
        <a:solidFill>
          <a:srgbClr val="202E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800">
              <a:solidFill>
                <a:schemeClr val="bg2">
                  <a:lumMod val="90000"/>
                </a:schemeClr>
              </a:solidFill>
            </a:rPr>
            <a:t>sales by cities</a:t>
          </a:r>
          <a:endParaRPr lang="en-GB" sz="1800" baseline="0">
            <a:solidFill>
              <a:schemeClr val="bg2">
                <a:lumMod val="90000"/>
              </a:schemeClr>
            </a:solidFill>
          </a:endParaRPr>
        </a:p>
      </xdr:txBody>
    </xdr:sp>
    <xdr:clientData/>
  </xdr:twoCellAnchor>
  <xdr:twoCellAnchor>
    <xdr:from>
      <xdr:col>4</xdr:col>
      <xdr:colOff>472440</xdr:colOff>
      <xdr:row>20</xdr:row>
      <xdr:rowOff>137160</xdr:rowOff>
    </xdr:from>
    <xdr:to>
      <xdr:col>7</xdr:col>
      <xdr:colOff>289560</xdr:colOff>
      <xdr:row>22</xdr:row>
      <xdr:rowOff>137160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 txBox="1"/>
      </xdr:nvSpPr>
      <xdr:spPr>
        <a:xfrm>
          <a:off x="2910840" y="3794760"/>
          <a:ext cx="1645920" cy="365760"/>
        </a:xfrm>
        <a:prstGeom prst="rect">
          <a:avLst/>
        </a:prstGeom>
        <a:solidFill>
          <a:srgbClr val="202E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800">
              <a:solidFill>
                <a:schemeClr val="bg2">
                  <a:lumMod val="90000"/>
                </a:schemeClr>
              </a:solidFill>
            </a:rPr>
            <a:t>Way to pay</a:t>
          </a:r>
          <a:endParaRPr lang="en-GB" sz="1800" baseline="0">
            <a:solidFill>
              <a:schemeClr val="bg2">
                <a:lumMod val="90000"/>
              </a:schemeClr>
            </a:solidFill>
          </a:endParaRPr>
        </a:p>
      </xdr:txBody>
    </xdr:sp>
    <xdr:clientData/>
  </xdr:twoCellAnchor>
  <xdr:twoCellAnchor>
    <xdr:from>
      <xdr:col>4</xdr:col>
      <xdr:colOff>457200</xdr:colOff>
      <xdr:row>7</xdr:row>
      <xdr:rowOff>38100</xdr:rowOff>
    </xdr:from>
    <xdr:to>
      <xdr:col>7</xdr:col>
      <xdr:colOff>129540</xdr:colOff>
      <xdr:row>9</xdr:row>
      <xdr:rowOff>121920</xdr:rowOff>
    </xdr:to>
    <xdr:sp macro="" textlink="'pivot tables'!B12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2895600" y="1318260"/>
          <a:ext cx="1501140" cy="449580"/>
        </a:xfrm>
        <a:prstGeom prst="rect">
          <a:avLst/>
        </a:prstGeom>
        <a:solidFill>
          <a:srgbClr val="202E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CBFFD2B5-B0F0-410D-99EE-80632204D715}" type="TxLink">
            <a:rPr lang="en-US" sz="2000" b="1" i="0" u="none" strike="noStrike">
              <a:solidFill>
                <a:schemeClr val="bg1">
                  <a:lumMod val="85000"/>
                </a:schemeClr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pPr algn="ctr"/>
            <a:t> 1,276,936 </a:t>
          </a:fld>
          <a:endParaRPr lang="en-GB" sz="36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17</xdr:col>
      <xdr:colOff>167640</xdr:colOff>
      <xdr:row>7</xdr:row>
      <xdr:rowOff>30480</xdr:rowOff>
    </xdr:from>
    <xdr:to>
      <xdr:col>19</xdr:col>
      <xdr:colOff>449580</xdr:colOff>
      <xdr:row>9</xdr:row>
      <xdr:rowOff>114300</xdr:rowOff>
    </xdr:to>
    <xdr:sp macro="" textlink="'pivot tables'!T17">
      <xdr:nvSpPr>
        <xdr:cNvPr id="43" name="TextBox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 txBox="1"/>
      </xdr:nvSpPr>
      <xdr:spPr>
        <a:xfrm>
          <a:off x="10530840" y="1310640"/>
          <a:ext cx="1501140" cy="449580"/>
        </a:xfrm>
        <a:prstGeom prst="rect">
          <a:avLst/>
        </a:prstGeom>
        <a:solidFill>
          <a:srgbClr val="202E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F38480FF-39E8-49EC-B1EC-4012A3155461}" type="TxLink">
            <a:rPr lang="en-US" sz="2400" b="0" i="0" u="none" strike="noStrike">
              <a:solidFill>
                <a:schemeClr val="bg1">
                  <a:lumMod val="85000"/>
                </a:schemeClr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pPr algn="ctr"/>
            <a:t>15</a:t>
          </a:fld>
          <a:endParaRPr lang="en-GB" sz="40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13</xdr:col>
      <xdr:colOff>83820</xdr:colOff>
      <xdr:row>7</xdr:row>
      <xdr:rowOff>0</xdr:rowOff>
    </xdr:from>
    <xdr:to>
      <xdr:col>15</xdr:col>
      <xdr:colOff>365760</xdr:colOff>
      <xdr:row>9</xdr:row>
      <xdr:rowOff>83820</xdr:rowOff>
    </xdr:to>
    <xdr:sp macro="" textlink="'pivot tables'!N10">
      <xdr:nvSpPr>
        <xdr:cNvPr id="44" name="TextBox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 txBox="1"/>
      </xdr:nvSpPr>
      <xdr:spPr>
        <a:xfrm>
          <a:off x="8008620" y="1280160"/>
          <a:ext cx="1501140" cy="449580"/>
        </a:xfrm>
        <a:prstGeom prst="rect">
          <a:avLst/>
        </a:prstGeom>
        <a:solidFill>
          <a:srgbClr val="202E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58D8287-AAFA-483F-A0F0-C951FDE2C02D}" type="TxLink">
            <a:rPr lang="en-US" sz="2000" b="1" i="0" u="none" strike="noStrike">
              <a:solidFill>
                <a:schemeClr val="bg1">
                  <a:lumMod val="85000"/>
                </a:schemeClr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pPr algn="ctr"/>
            <a:t> 10,215 </a:t>
          </a:fld>
          <a:endParaRPr lang="en-GB" sz="36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8</xdr:col>
      <xdr:colOff>579120</xdr:colOff>
      <xdr:row>7</xdr:row>
      <xdr:rowOff>7620</xdr:rowOff>
    </xdr:from>
    <xdr:to>
      <xdr:col>11</xdr:col>
      <xdr:colOff>251460</xdr:colOff>
      <xdr:row>9</xdr:row>
      <xdr:rowOff>91440</xdr:rowOff>
    </xdr:to>
    <xdr:sp macro="" textlink="'pivot tables'!H18">
      <xdr:nvSpPr>
        <xdr:cNvPr id="45" name="TextBox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 txBox="1"/>
      </xdr:nvSpPr>
      <xdr:spPr>
        <a:xfrm>
          <a:off x="5455920" y="1287780"/>
          <a:ext cx="1501140" cy="449580"/>
        </a:xfrm>
        <a:prstGeom prst="rect">
          <a:avLst/>
        </a:prstGeom>
        <a:solidFill>
          <a:srgbClr val="202E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4E5AB62A-799C-410E-BA5F-A5A07DA4721D}" type="TxLink">
            <a:rPr lang="en-US" sz="2400" b="1" i="0" u="none" strike="noStrike">
              <a:solidFill>
                <a:schemeClr val="bg1">
                  <a:lumMod val="85000"/>
                </a:schemeClr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pPr algn="ctr"/>
            <a:t>125</a:t>
          </a:fld>
          <a:endParaRPr lang="en-GB" sz="40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0</xdr:col>
      <xdr:colOff>381000</xdr:colOff>
      <xdr:row>2</xdr:row>
      <xdr:rowOff>99060</xdr:rowOff>
    </xdr:from>
    <xdr:to>
      <xdr:col>3</xdr:col>
      <xdr:colOff>274320</xdr:colOff>
      <xdr:row>12</xdr:row>
      <xdr:rowOff>22860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>
        <a:xfrm>
          <a:off x="381000" y="464820"/>
          <a:ext cx="1722120" cy="1752600"/>
        </a:xfrm>
        <a:prstGeom prst="ellipse">
          <a:avLst/>
        </a:prstGeom>
        <a:solidFill>
          <a:srgbClr val="202E59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45720</xdr:colOff>
      <xdr:row>4</xdr:row>
      <xdr:rowOff>22860</xdr:rowOff>
    </xdr:from>
    <xdr:to>
      <xdr:col>3</xdr:col>
      <xdr:colOff>15240</xdr:colOff>
      <xdr:row>10</xdr:row>
      <xdr:rowOff>114300</xdr:rowOff>
    </xdr:to>
    <xdr:pic>
      <xdr:nvPicPr>
        <xdr:cNvPr id="50" name="Picture 4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320" y="754380"/>
          <a:ext cx="1188720" cy="1188720"/>
        </a:xfrm>
        <a:prstGeom prst="rect">
          <a:avLst/>
        </a:prstGeom>
      </xdr:spPr>
    </xdr:pic>
    <xdr:clientData/>
  </xdr:twoCellAnchor>
  <xdr:twoCellAnchor editAs="oneCell">
    <xdr:from>
      <xdr:col>0</xdr:col>
      <xdr:colOff>144780</xdr:colOff>
      <xdr:row>20</xdr:row>
      <xdr:rowOff>30481</xdr:rowOff>
    </xdr:from>
    <xdr:to>
      <xdr:col>3</xdr:col>
      <xdr:colOff>480060</xdr:colOff>
      <xdr:row>25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2" name="الصنف">
              <a:extLst>
                <a:ext uri="{FF2B5EF4-FFF2-40B4-BE49-F238E27FC236}">
                  <a16:creationId xmlns:a16="http://schemas.microsoft.com/office/drawing/2014/main" id="{00000000-0008-0000-0300-00003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الصنف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" y="3688080"/>
              <a:ext cx="2164080" cy="922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160020</xdr:colOff>
      <xdr:row>12</xdr:row>
      <xdr:rowOff>99061</xdr:rowOff>
    </xdr:from>
    <xdr:to>
      <xdr:col>3</xdr:col>
      <xdr:colOff>441960</xdr:colOff>
      <xdr:row>19</xdr:row>
      <xdr:rowOff>15240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3" name="الحالة">
              <a:extLst>
                <a:ext uri="{FF2B5EF4-FFF2-40B4-BE49-F238E27FC236}">
                  <a16:creationId xmlns:a16="http://schemas.microsoft.com/office/drawing/2014/main" id="{00000000-0008-0000-0300-00003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الحالة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020" y="2293620"/>
              <a:ext cx="2110740" cy="11963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 Tech" refreshedDate="46130.552966203701" createdVersion="8" refreshedVersion="8" minRefreshableVersion="3" recordCount="125" xr:uid="{00000000-000A-0000-FFFF-FFFF00000000}">
  <cacheSource type="worksheet">
    <worksheetSource name="Misuo"/>
  </cacheSource>
  <cacheFields count="25">
    <cacheField name="أسم العميل" numFmtId="0">
      <sharedItems containsSemiMixedTypes="0" containsNonDate="0" containsString="0"/>
    </cacheField>
    <cacheField name="نوع العميل" numFmtId="0">
      <sharedItems count="2">
        <s v="افراد"/>
        <s v="شركات"/>
      </sharedItems>
    </cacheField>
    <cacheField name="العنوان" numFmtId="0">
      <sharedItems containsSemiMixedTypes="0" containsNonDate="0" containsString="0"/>
    </cacheField>
    <cacheField name="المحافظة" numFmtId="0">
      <sharedItems containsBlank="1" count="9">
        <s v="الجيزة"/>
        <s v="الإسكندرية"/>
        <s v="مطروح"/>
        <s v="البحر الأحمر"/>
        <m/>
        <s v="القاهرة"/>
        <s v="القليوبية"/>
        <s v="السويس"/>
        <s v="أسيوط"/>
      </sharedItems>
    </cacheField>
    <cacheField name="منصة البيع " numFmtId="0">
      <sharedItems count="8">
        <s v="هومزمارت"/>
        <s v="شيك هومز"/>
        <s v="فيسبوك"/>
        <s v="تاكى"/>
        <s v="اوسكار ريتن"/>
        <s v="السويس"/>
        <s v="منزلى"/>
        <s v="كيمت"/>
      </sharedItems>
    </cacheField>
    <cacheField name="الصنف" numFmtId="0">
      <sharedItems count="6">
        <s v="سرير"/>
        <s v="ترابيزه"/>
        <s v="كنبة"/>
        <s v="ركنة"/>
        <s v="كرسى"/>
        <s v="شيزلونج"/>
      </sharedItems>
    </cacheField>
    <cacheField name="نوع الصنف" numFmtId="0">
      <sharedItems containsSemiMixedTypes="0" containsNonDate="0" containsString="0"/>
    </cacheField>
    <cacheField name="الاسم" numFmtId="0">
      <sharedItems containsSemiMixedTypes="0" containsNonDate="0" containsString="0"/>
    </cacheField>
    <cacheField name="الكمية" numFmtId="0">
      <sharedItems containsSemiMixedTypes="0" containsNonDate="0" containsString="0"/>
    </cacheField>
    <cacheField name="المقاس" numFmtId="0">
      <sharedItems containsSemiMixedTypes="0" containsNonDate="0" containsString="0"/>
    </cacheField>
    <cacheField name="اللون المعدن" numFmtId="0">
      <sharedItems count="13">
        <s v="ابيض"/>
        <s v="اسود"/>
        <s v="ازرق"/>
        <s v="غير معروف"/>
        <s v="رمادى"/>
        <s v="دهبي"/>
        <s v="بنفسجى"/>
        <s v="اسود وبنى"/>
        <s v="اسود "/>
        <s v="ملون"/>
        <s v="بينك"/>
        <s v="نبيتى "/>
        <s v="الوان"/>
      </sharedItems>
    </cacheField>
    <cacheField name="لون القماش" numFmtId="0">
      <sharedItems containsSemiMixedTypes="0" containsNonDate="0" containsString="0"/>
    </cacheField>
    <cacheField name="سعر البيع " numFmtId="0">
      <sharedItems containsSemiMixedTypes="0" containsNonDate="0" containsString="0"/>
    </cacheField>
    <cacheField name="طريقة الدفع" numFmtId="0">
      <sharedItems count="4">
        <s v="مسبق الدفع"/>
        <s v="كاش"/>
        <s v="حساب شركه"/>
        <s v="غير معروف"/>
      </sharedItems>
    </cacheField>
    <cacheField name="ميعاد الطلب" numFmtId="14">
      <sharedItems containsSemiMixedTypes="0" containsNonDate="0" containsDate="1" containsString="0" minDate="2024-07-27T00:00:00" maxDate="2024-12-14T00:00:00" count="55">
        <d v="2024-07-27T00:00:00"/>
        <d v="2024-07-28T00:00:00"/>
        <d v="2024-08-25T00:00:00"/>
        <d v="2024-08-16T00:00:00"/>
        <d v="2024-08-14T00:00:00"/>
        <d v="2024-08-17T00:00:00"/>
        <d v="2024-08-19T00:00:00"/>
        <d v="2024-09-01T00:00:00"/>
        <d v="2024-09-05T00:00:00"/>
        <d v="2024-09-04T00:00:00"/>
        <d v="2024-09-03T00:00:00"/>
        <d v="2024-09-06T00:00:00"/>
        <d v="2024-09-09T00:00:00"/>
        <d v="2024-09-12T00:00:00"/>
        <d v="2024-09-14T00:00:00"/>
        <d v="2024-09-13T00:00:00"/>
        <d v="2024-09-15T00:00:00"/>
        <d v="2024-09-16T00:00:00"/>
        <d v="2024-09-21T00:00:00"/>
        <d v="2024-09-23T00:00:00"/>
        <d v="2024-09-26T00:00:00"/>
        <d v="2024-09-29T00:00:00"/>
        <d v="2024-10-01T00:00:00"/>
        <d v="2024-10-03T00:00:00"/>
        <d v="2024-10-08T00:00:00"/>
        <d v="2024-10-07T00:00:00"/>
        <d v="2024-10-10T00:00:00"/>
        <d v="2024-10-13T00:00:00"/>
        <d v="2024-10-16T00:00:00"/>
        <d v="2024-10-17T00:00:00"/>
        <d v="2024-10-20T00:00:00"/>
        <d v="2024-10-22T00:00:00"/>
        <d v="2024-10-21T00:00:00"/>
        <d v="2024-10-24T00:00:00"/>
        <d v="2024-10-26T00:00:00"/>
        <d v="2024-10-28T00:00:00"/>
        <d v="2024-11-11T00:00:00"/>
        <d v="2024-11-08T00:00:00"/>
        <d v="2024-11-10T00:00:00"/>
        <d v="2024-11-12T00:00:00"/>
        <d v="2024-11-14T00:00:00"/>
        <d v="2024-11-17T00:00:00"/>
        <d v="2024-11-20T00:00:00"/>
        <d v="2024-11-22T00:00:00"/>
        <d v="2024-11-24T00:00:00"/>
        <d v="2024-11-19T00:00:00"/>
        <d v="2024-11-27T00:00:00"/>
        <d v="2024-11-29T00:00:00"/>
        <d v="2024-11-30T00:00:00"/>
        <d v="2024-12-02T00:00:00"/>
        <d v="2024-12-01T00:00:00"/>
        <d v="2024-12-04T00:00:00"/>
        <d v="2024-12-09T00:00:00"/>
        <d v="2024-12-12T00:00:00"/>
        <d v="2024-12-14T00:00:00"/>
      </sharedItems>
    </cacheField>
    <cacheField name="ميعاد التسليم" numFmtId="14">
      <sharedItems containsSemiMixedTypes="0" containsNonDate="0" containsString="0"/>
    </cacheField>
    <cacheField name="تاريخ التسليم" numFmtId="14">
      <sharedItems containsNonDate="0" containsDate="1" containsString="0" containsBlank="1" minDate="2024-08-10T00:00:00" maxDate="2024-12-29T00:00:00" count="44">
        <d v="2024-08-10T00:00:00"/>
        <d v="2024-08-11T00:00:00"/>
        <m/>
        <d v="2024-08-27T00:00:00"/>
        <d v="2024-09-05T00:00:00"/>
        <d v="2024-08-19T00:00:00"/>
        <d v="2024-09-10T00:00:00"/>
        <d v="2024-09-17T00:00:00"/>
        <d v="2024-09-08T00:00:00"/>
        <d v="2024-09-25T00:00:00"/>
        <d v="2024-09-15T00:00:00"/>
        <d v="2024-09-21T00:00:00"/>
        <d v="2024-09-22T00:00:00"/>
        <d v="2024-09-24T00:00:00"/>
        <d v="2024-09-30T00:00:00"/>
        <d v="2024-10-03T00:00:00"/>
        <d v="2024-10-02T00:00:00"/>
        <d v="2024-10-16T00:00:00"/>
        <d v="2024-10-20T00:00:00"/>
        <d v="2024-10-15T00:00:00"/>
        <d v="2024-10-04T00:00:00"/>
        <d v="2024-10-21T00:00:00"/>
        <d v="2024-10-30T00:00:00"/>
        <d v="2024-10-19T00:00:00"/>
        <d v="2024-10-13T00:00:00"/>
        <d v="2024-10-17T00:00:00"/>
        <d v="2024-10-01T00:00:00"/>
        <d v="2024-10-09T00:00:00"/>
        <d v="2024-11-14T00:00:00"/>
        <d v="2024-10-12T00:00:00"/>
        <d v="2024-10-10T00:00:00"/>
        <d v="2024-11-02T00:00:00"/>
        <d v="2024-12-03T00:00:00"/>
        <d v="2024-11-18T00:00:00"/>
        <d v="2024-11-21T00:00:00"/>
        <d v="2024-11-27T00:00:00"/>
        <d v="2024-11-25T00:00:00"/>
        <d v="2024-11-26T00:00:00"/>
        <d v="2024-12-10T00:00:00"/>
        <d v="2024-11-20T00:00:00"/>
        <d v="2024-12-23T00:00:00"/>
        <d v="2024-12-19T00:00:00"/>
        <d v="2024-12-12T00:00:00"/>
        <d v="2024-12-29T00:00:00"/>
      </sharedItems>
    </cacheField>
    <cacheField name="مدة التسليم(الهدف)" numFmtId="0">
      <sharedItems containsSemiMixedTypes="0" containsNonDate="0" containsString="0"/>
    </cacheField>
    <cacheField name="مدة التسليم(الفعلي)" numFmtId="0">
      <sharedItems containsSemiMixedTypes="0" containsNonDate="0" containsString="0"/>
    </cacheField>
    <cacheField name="المسئول عن التسليم" numFmtId="0">
      <sharedItems containsSemiMixedTypes="0" containsNonDate="0" containsString="0"/>
    </cacheField>
    <cacheField name="الحالة" numFmtId="0">
      <sharedItems count="3">
        <s v="تم التسليم"/>
        <s v="فشل التسليم"/>
        <s v="مرتجع"/>
      </sharedItems>
    </cacheField>
    <cacheField name="Days (تاريخ التسليم)" numFmtId="0" databaseField="0">
      <fieldGroup base="16">
        <rangePr groupBy="days" startDate="2024-08-10T00:00:00" endDate="2024-12-30T00:00:00"/>
        <groupItems count="368">
          <s v="&lt;10/08/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/12/2024"/>
        </groupItems>
      </fieldGroup>
    </cacheField>
    <cacheField name="Months (تاريخ التسليم)" numFmtId="0" databaseField="0">
      <fieldGroup base="16">
        <rangePr groupBy="months" startDate="2024-08-10T00:00:00" endDate="2024-12-30T00:00:00"/>
        <groupItems count="14">
          <s v="&lt;10/08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12/2024"/>
        </groupItems>
      </fieldGroup>
    </cacheField>
    <cacheField name="Days (ميعاد الطلب)" numFmtId="0" databaseField="0">
      <fieldGroup base="14">
        <rangePr groupBy="days" startDate="2024-07-27T00:00:00" endDate="2024-12-15T00:00:00"/>
        <groupItems count="368">
          <s v="&lt;27/07/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/12/2024"/>
        </groupItems>
      </fieldGroup>
    </cacheField>
    <cacheField name="Months (ميعاد الطلب)" numFmtId="0" databaseField="0">
      <fieldGroup base="14">
        <rangePr groupBy="months" startDate="2024-07-27T00:00:00" endDate="2024-12-15T00:00:00"/>
        <groupItems count="14">
          <s v="&lt;27/07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/12/2024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s v="خالد عبد القوى"/>
    <x v="0"/>
    <s v="العجوزه - الجيزه"/>
    <x v="0"/>
    <x v="0"/>
    <x v="0"/>
    <s v="منطبق"/>
    <s v="غير معروف"/>
    <n v="1"/>
    <s v="غير معروف"/>
    <x v="0"/>
    <s v="ابيض"/>
    <n v="10160"/>
    <x v="0"/>
    <x v="0"/>
    <m/>
    <x v="0"/>
    <n v="0"/>
    <n v="14"/>
    <s v="تم التسليم عن طريق شركه شحن"/>
    <x v="0"/>
  </r>
  <r>
    <s v="محمود"/>
    <x v="0"/>
    <s v="سموحه - اسكندريه"/>
    <x v="1"/>
    <x v="0"/>
    <x v="0"/>
    <s v="منطبق"/>
    <s v="غير معروف"/>
    <n v="1"/>
    <s v="غير معروف"/>
    <x v="1"/>
    <s v="اسود"/>
    <n v="10160"/>
    <x v="1"/>
    <x v="1"/>
    <m/>
    <x v="1"/>
    <n v="0"/>
    <n v="14"/>
    <s v="تم التسليم عن طريق شركه شحن"/>
    <x v="0"/>
  </r>
  <r>
    <s v="سعيد"/>
    <x v="0"/>
    <s v="سيدى عبد الرحمن - الساحل الشمالى"/>
    <x v="2"/>
    <x v="0"/>
    <x v="0"/>
    <s v="دورين"/>
    <s v="كيفنج"/>
    <n v="1"/>
    <s v="90"/>
    <x v="2"/>
    <s v="غير معروف"/>
    <n v="11455"/>
    <x v="1"/>
    <x v="0"/>
    <m/>
    <x v="2"/>
    <n v="0"/>
    <n v="0"/>
    <s v="فشل التسليم"/>
    <x v="1"/>
  </r>
  <r>
    <s v="ساندرا"/>
    <x v="0"/>
    <s v="الغردقه"/>
    <x v="3"/>
    <x v="0"/>
    <x v="1"/>
    <s v="غير معروف"/>
    <s v="غير معروف"/>
    <n v="1"/>
    <s v="غير معروف"/>
    <x v="3"/>
    <s v="غير معروف"/>
    <n v="8642"/>
    <x v="0"/>
    <x v="2"/>
    <d v="2024-09-07T00:00:00"/>
    <x v="3"/>
    <n v="13"/>
    <n v="2"/>
    <s v="تم التسليم عن طريق شركه شحن"/>
    <x v="0"/>
  </r>
  <r>
    <s v="زينا"/>
    <x v="0"/>
    <s v="سيدى عبد الرحمن - الساحل الشمالى"/>
    <x v="2"/>
    <x v="0"/>
    <x v="0"/>
    <s v="دورين"/>
    <s v="نوفال"/>
    <n v="1"/>
    <s v="100"/>
    <x v="4"/>
    <s v="غير معروف"/>
    <n v="12833"/>
    <x v="1"/>
    <x v="3"/>
    <d v="2024-08-31T00:00:00"/>
    <x v="2"/>
    <n v="15"/>
    <n v="0"/>
    <s v="فشل التسليم"/>
    <x v="1"/>
  </r>
  <r>
    <s v="شيك هومز"/>
    <x v="1"/>
    <m/>
    <x v="4"/>
    <x v="1"/>
    <x v="2"/>
    <s v="4*1"/>
    <s v="غير معروف"/>
    <n v="1"/>
    <s v="غير معروف"/>
    <x v="3"/>
    <s v="رمادي"/>
    <n v="14550"/>
    <x v="0"/>
    <x v="4"/>
    <d v="2024-09-03T00:00:00"/>
    <x v="4"/>
    <n v="20"/>
    <n v="22"/>
    <s v="تم التسليم عن طريق شركه شحن"/>
    <x v="0"/>
  </r>
  <r>
    <s v="احمد"/>
    <x v="0"/>
    <s v="التجمع الخامس"/>
    <x v="5"/>
    <x v="2"/>
    <x v="2"/>
    <s v="4*1"/>
    <s v="غير معروف"/>
    <n v="1"/>
    <s v="غير معروف"/>
    <x v="3"/>
    <s v="رمادي"/>
    <n v="12000"/>
    <x v="1"/>
    <x v="5"/>
    <d v="2024-08-20T00:00:00"/>
    <x v="5"/>
    <n v="3"/>
    <n v="2"/>
    <s v="تم التسليم عن طريق شركه شحن"/>
    <x v="0"/>
  </r>
  <r>
    <s v="yilmaz"/>
    <x v="0"/>
    <s v="٦ اكتوبر الجيزه"/>
    <x v="0"/>
    <x v="0"/>
    <x v="0"/>
    <s v="فردى"/>
    <s v="غير معروف"/>
    <n v="1"/>
    <s v="غير معروف"/>
    <x v="0"/>
    <s v="غير معروف"/>
    <n v="7228"/>
    <x v="0"/>
    <x v="2"/>
    <d v="2024-09-03T00:00:00"/>
    <x v="6"/>
    <n v="9"/>
    <n v="16"/>
    <s v="تم التسليم عن طريق شركه شحن"/>
    <x v="0"/>
  </r>
  <r>
    <s v="تاكى"/>
    <x v="1"/>
    <s v="العباسيه"/>
    <x v="5"/>
    <x v="3"/>
    <x v="3"/>
    <s v="ركنة بسرير"/>
    <s v="غير معروف"/>
    <n v="1"/>
    <s v="غير معروف"/>
    <x v="3"/>
    <s v="غير معروف"/>
    <n v="22000"/>
    <x v="1"/>
    <x v="6"/>
    <d v="2024-09-01T00:00:00"/>
    <x v="7"/>
    <n v="13"/>
    <n v="29"/>
    <s v="غير معروف"/>
    <x v="0"/>
  </r>
  <r>
    <s v="تاكى"/>
    <x v="1"/>
    <s v="العباسيه"/>
    <x v="5"/>
    <x v="3"/>
    <x v="2"/>
    <s v="سحارة"/>
    <s v="غير معروف"/>
    <n v="2"/>
    <s v="غير معروف"/>
    <x v="3"/>
    <s v="غير معروف"/>
    <n v="6000"/>
    <x v="1"/>
    <x v="2"/>
    <d v="2024-09-15T00:00:00"/>
    <x v="7"/>
    <n v="21"/>
    <n v="23"/>
    <s v="تم التسليم محمود على"/>
    <x v="0"/>
  </r>
  <r>
    <s v="تاكى"/>
    <x v="1"/>
    <s v="العباسيه"/>
    <x v="5"/>
    <x v="3"/>
    <x v="2"/>
    <s v="سحارة"/>
    <s v="غير معروف"/>
    <n v="2"/>
    <s v="غير معروف"/>
    <x v="3"/>
    <s v="غير معروف"/>
    <n v="6000"/>
    <x v="1"/>
    <x v="2"/>
    <d v="2024-09-15T00:00:00"/>
    <x v="7"/>
    <n v="21"/>
    <n v="23"/>
    <s v="تم التسليم محمود على"/>
    <x v="0"/>
  </r>
  <r>
    <s v="على رشوان"/>
    <x v="0"/>
    <s v="مصر الجديده"/>
    <x v="5"/>
    <x v="0"/>
    <x v="0"/>
    <s v="دورين"/>
    <s v="نوفال"/>
    <n v="1"/>
    <s v="80"/>
    <x v="0"/>
    <s v="غير معروف"/>
    <n v="10499"/>
    <x v="1"/>
    <x v="7"/>
    <d v="2024-09-16T00:00:00"/>
    <x v="8"/>
    <n v="15"/>
    <n v="7"/>
    <s v="تم التسليم عن طريق شركه شحن"/>
    <x v="0"/>
  </r>
  <r>
    <s v="احمد فخرى"/>
    <x v="0"/>
    <s v="٦ اكتوبر الجيزه"/>
    <x v="0"/>
    <x v="0"/>
    <x v="0"/>
    <s v="فردى"/>
    <s v="نوفال"/>
    <n v="1"/>
    <s v="80"/>
    <x v="0"/>
    <s v="غير معروف"/>
    <n v="7295"/>
    <x v="1"/>
    <x v="8"/>
    <d v="2024-09-14T00:00:00"/>
    <x v="2"/>
    <n v="9"/>
    <n v="0"/>
    <s v="فشل التسليم"/>
    <x v="1"/>
  </r>
  <r>
    <s v="لينا"/>
    <x v="0"/>
    <s v="المقطم"/>
    <x v="5"/>
    <x v="0"/>
    <x v="1"/>
    <s v="2 ميكانزم"/>
    <s v="غير معروف"/>
    <n v="1"/>
    <s v="غير معروف"/>
    <x v="3"/>
    <s v="غير معروف"/>
    <n v="7849"/>
    <x v="0"/>
    <x v="9"/>
    <d v="2024-09-16T00:00:00"/>
    <x v="9"/>
    <n v="12"/>
    <n v="21"/>
    <s v="تم التسليم عن طريق شركه شحن"/>
    <x v="2"/>
  </r>
  <r>
    <s v="فيصل نعيم"/>
    <x v="0"/>
    <s v="التجمع الخامس"/>
    <x v="5"/>
    <x v="4"/>
    <x v="0"/>
    <s v="دورين"/>
    <s v="كيفنج"/>
    <n v="2"/>
    <s v="120"/>
    <x v="1"/>
    <s v="غير معروف"/>
    <n v="6180"/>
    <x v="1"/>
    <x v="10"/>
    <d v="2024-09-16T00:00:00"/>
    <x v="10"/>
    <n v="13"/>
    <n v="12"/>
    <s v="تم التسليم محمود على"/>
    <x v="0"/>
  </r>
  <r>
    <s v="فيصل نعيم"/>
    <x v="0"/>
    <s v="التجمع الخامس"/>
    <x v="5"/>
    <x v="4"/>
    <x v="0"/>
    <s v="دورين"/>
    <s v="كيفنج"/>
    <n v="2"/>
    <s v="120"/>
    <x v="1"/>
    <s v="غير معروف"/>
    <n v="6180"/>
    <x v="1"/>
    <x v="10"/>
    <d v="2024-09-16T00:00:00"/>
    <x v="10"/>
    <n v="13"/>
    <n v="12"/>
    <s v="تم التسليم محمود على"/>
    <x v="0"/>
  </r>
  <r>
    <s v="ellho elkafy"/>
    <x v="0"/>
    <s v="مدينه نصر"/>
    <x v="5"/>
    <x v="0"/>
    <x v="0"/>
    <s v="دورين"/>
    <s v="كينج"/>
    <n v="1"/>
    <s v="80"/>
    <x v="0"/>
    <s v="غير معروف"/>
    <n v="11199"/>
    <x v="1"/>
    <x v="9"/>
    <d v="2024-09-18T00:00:00"/>
    <x v="2"/>
    <n v="14"/>
    <n v="0"/>
    <s v="فشل التسليم"/>
    <x v="1"/>
  </r>
  <r>
    <s v="احمد"/>
    <x v="0"/>
    <s v="القاهره الجديده"/>
    <x v="5"/>
    <x v="0"/>
    <x v="0"/>
    <s v="فردى"/>
    <s v="فورجينا"/>
    <n v="4"/>
    <s v="80"/>
    <x v="0"/>
    <s v="غير معروف"/>
    <n v="7987"/>
    <x v="0"/>
    <x v="11"/>
    <d v="2024-09-16T00:00:00"/>
    <x v="11"/>
    <n v="10"/>
    <n v="15"/>
    <s v="تم التسليم محمود على"/>
    <x v="0"/>
  </r>
  <r>
    <s v="تاكى"/>
    <x v="1"/>
    <s v="العباسيه"/>
    <x v="5"/>
    <x v="3"/>
    <x v="4"/>
    <s v="فنيسيا"/>
    <s v="غير معروف"/>
    <n v="2"/>
    <s v="غير معروف"/>
    <x v="3"/>
    <s v="غير معروف"/>
    <n v="9300"/>
    <x v="1"/>
    <x v="9"/>
    <d v="2024-09-15T00:00:00"/>
    <x v="7"/>
    <n v="11"/>
    <n v="13"/>
    <s v="تم التسليم محمود على"/>
    <x v="0"/>
  </r>
  <r>
    <s v="احمد"/>
    <x v="0"/>
    <s v="القاهره الجديده"/>
    <x v="5"/>
    <x v="0"/>
    <x v="0"/>
    <s v="فردى"/>
    <s v="فورجينا"/>
    <n v="4"/>
    <s v="80"/>
    <x v="0"/>
    <s v="غير معروف"/>
    <n v="7987"/>
    <x v="0"/>
    <x v="11"/>
    <d v="2024-09-16T00:00:00"/>
    <x v="11"/>
    <n v="10"/>
    <n v="15"/>
    <s v="تم التسليم محمود على"/>
    <x v="0"/>
  </r>
  <r>
    <s v="احمد"/>
    <x v="0"/>
    <s v="القاهره الجديده"/>
    <x v="5"/>
    <x v="0"/>
    <x v="0"/>
    <s v="فردى"/>
    <s v="فورجينا"/>
    <n v="4"/>
    <s v="80"/>
    <x v="0"/>
    <s v="غير معروف"/>
    <n v="7987"/>
    <x v="0"/>
    <x v="11"/>
    <d v="2024-09-16T00:00:00"/>
    <x v="11"/>
    <n v="10"/>
    <n v="15"/>
    <s v="تم التسليم محمود على"/>
    <x v="0"/>
  </r>
  <r>
    <s v="احمد"/>
    <x v="0"/>
    <s v="القاهره الجديده"/>
    <x v="5"/>
    <x v="0"/>
    <x v="0"/>
    <s v="فردى"/>
    <s v="فورجينا"/>
    <n v="4"/>
    <s v="80"/>
    <x v="0"/>
    <s v="غير معروف"/>
    <n v="7987"/>
    <x v="0"/>
    <x v="11"/>
    <d v="2024-09-16T00:00:00"/>
    <x v="11"/>
    <n v="10"/>
    <n v="15"/>
    <s v="تم التسليم محمود على"/>
    <x v="0"/>
  </r>
  <r>
    <s v="صفاء"/>
    <x v="0"/>
    <s v="المعادى"/>
    <x v="5"/>
    <x v="0"/>
    <x v="1"/>
    <s v="2 ميكانزم"/>
    <s v="غير معروف"/>
    <n v="1"/>
    <s v="غير معروف"/>
    <x v="3"/>
    <s v="غير معروف"/>
    <n v="8849"/>
    <x v="0"/>
    <x v="10"/>
    <d v="2024-10-16T00:00:00"/>
    <x v="2"/>
    <n v="43"/>
    <n v="0"/>
    <s v="فشل التسليم"/>
    <x v="1"/>
  </r>
  <r>
    <s v="حسن حازم"/>
    <x v="0"/>
    <s v="٦ اكتوبر الجيزه"/>
    <x v="0"/>
    <x v="0"/>
    <x v="0"/>
    <s v="فردى"/>
    <s v="اسبانى"/>
    <n v="1"/>
    <s v="120"/>
    <x v="0"/>
    <s v="غير معروف"/>
    <n v="10987"/>
    <x v="0"/>
    <x v="12"/>
    <d v="2024-09-17T00:00:00"/>
    <x v="11"/>
    <n v="8"/>
    <n v="12"/>
    <s v="تم التسليم محمود على"/>
    <x v="0"/>
  </r>
  <r>
    <s v="شيك هومز"/>
    <x v="1"/>
    <m/>
    <x v="4"/>
    <x v="1"/>
    <x v="0"/>
    <s v="دورين"/>
    <s v="كينج"/>
    <n v="1"/>
    <s v="100"/>
    <x v="0"/>
    <s v="غير معروف"/>
    <n v="9208"/>
    <x v="1"/>
    <x v="7"/>
    <d v="2024-09-19T00:00:00"/>
    <x v="11"/>
    <n v="18"/>
    <n v="20"/>
    <s v="تم التسليم محمود على"/>
    <x v="0"/>
  </r>
  <r>
    <s v="شيك هومز"/>
    <x v="1"/>
    <m/>
    <x v="4"/>
    <x v="1"/>
    <x v="0"/>
    <s v="دورين"/>
    <s v="كينج"/>
    <n v="1"/>
    <s v="100"/>
    <x v="1"/>
    <s v="غير معروف"/>
    <n v="9208"/>
    <x v="1"/>
    <x v="7"/>
    <d v="2024-09-19T00:00:00"/>
    <x v="11"/>
    <n v="18"/>
    <n v="20"/>
    <s v="تم التسليم محمود على"/>
    <x v="0"/>
  </r>
  <r>
    <s v="اوسكار راتن"/>
    <x v="1"/>
    <s v="مخزن اوسكار في القناطر"/>
    <x v="6"/>
    <x v="4"/>
    <x v="0"/>
    <s v="فردى"/>
    <s v="فورجينا"/>
    <n v="2"/>
    <s v="120"/>
    <x v="0"/>
    <s v="غير معروف"/>
    <n v="4020"/>
    <x v="2"/>
    <x v="13"/>
    <d v="2024-09-21T00:00:00"/>
    <x v="12"/>
    <n v="9"/>
    <n v="10"/>
    <s v="تم التسليم محمود على"/>
    <x v="0"/>
  </r>
  <r>
    <s v="اوسكار راتن"/>
    <x v="1"/>
    <s v="مخزن اوسكار في القناطر"/>
    <x v="6"/>
    <x v="4"/>
    <x v="0"/>
    <s v="فردى"/>
    <s v="فورجينا"/>
    <n v="2"/>
    <s v="120"/>
    <x v="0"/>
    <s v="غير معروف"/>
    <n v="4020"/>
    <x v="2"/>
    <x v="13"/>
    <d v="2024-09-21T00:00:00"/>
    <x v="12"/>
    <n v="9"/>
    <n v="10"/>
    <s v="تم التسليم محمود على"/>
    <x v="0"/>
  </r>
  <r>
    <s v="اوسكار راتن"/>
    <x v="1"/>
    <s v="مخزن اوسكار في القناطر"/>
    <x v="6"/>
    <x v="4"/>
    <x v="0"/>
    <s v="فردى"/>
    <s v="ارفيل"/>
    <n v="2"/>
    <s v="120"/>
    <x v="1"/>
    <s v="غير معروف"/>
    <n v="4020"/>
    <x v="0"/>
    <x v="13"/>
    <d v="2024-09-21T00:00:00"/>
    <x v="12"/>
    <n v="9"/>
    <n v="10"/>
    <s v="تم التسليم محمود على"/>
    <x v="0"/>
  </r>
  <r>
    <s v="اوسكار راتن"/>
    <x v="1"/>
    <s v="مخزن اوسكار في القناطر"/>
    <x v="6"/>
    <x v="4"/>
    <x v="0"/>
    <s v="فردى"/>
    <s v="ارفيل"/>
    <n v="2"/>
    <s v="120"/>
    <x v="1"/>
    <s v="غير معروف"/>
    <n v="4020"/>
    <x v="0"/>
    <x v="13"/>
    <d v="2024-09-21T00:00:00"/>
    <x v="12"/>
    <n v="9"/>
    <n v="10"/>
    <s v="تم التسليم محمود على"/>
    <x v="0"/>
  </r>
  <r>
    <s v="صفاء الحكيم"/>
    <x v="0"/>
    <s v="العين السخنه"/>
    <x v="7"/>
    <x v="0"/>
    <x v="0"/>
    <s v="منطبق"/>
    <s v="غير معروف"/>
    <n v="1"/>
    <s v="غير معروف"/>
    <x v="1"/>
    <s v="اسود"/>
    <n v="9399"/>
    <x v="0"/>
    <x v="14"/>
    <d v="2024-09-22T00:00:00"/>
    <x v="2"/>
    <n v="8"/>
    <n v="0"/>
    <s v="فشل التسليم"/>
    <x v="1"/>
  </r>
  <r>
    <s v="يوسف شناوى"/>
    <x v="0"/>
    <s v="الابراهيميه . الإسكندرية"/>
    <x v="1"/>
    <x v="0"/>
    <x v="1"/>
    <s v="رف سحاب"/>
    <s v="غير معروف"/>
    <n v="1"/>
    <s v="غير معروف"/>
    <x v="3"/>
    <s v="غير معروف"/>
    <n v="8349"/>
    <x v="0"/>
    <x v="14"/>
    <d v="2024-09-22T00:00:00"/>
    <x v="13"/>
    <n v="8"/>
    <n v="10"/>
    <s v="تم التسليم عن طريق شركه شحن"/>
    <x v="0"/>
  </r>
  <r>
    <s v="حاتم العيسوي"/>
    <x v="0"/>
    <s v="٦ اكتوبر الجيزه"/>
    <x v="0"/>
    <x v="0"/>
    <x v="0"/>
    <s v="منطبق"/>
    <s v="غير معروف"/>
    <n v="1"/>
    <s v="غير معروف"/>
    <x v="1"/>
    <s v="اسود"/>
    <n v="9399"/>
    <x v="0"/>
    <x v="15"/>
    <d v="2024-09-24T00:00:00"/>
    <x v="14"/>
    <n v="11"/>
    <n v="17"/>
    <s v="تم التسليم عن طريق شركه شحن"/>
    <x v="0"/>
  </r>
  <r>
    <s v="رنا"/>
    <x v="0"/>
    <s v="القطاميه"/>
    <x v="5"/>
    <x v="0"/>
    <x v="1"/>
    <s v="2 ميكانزم"/>
    <s v="غير معروف"/>
    <n v="1"/>
    <s v="غير معروف"/>
    <x v="3"/>
    <s v="غير معروف"/>
    <n v="7849"/>
    <x v="1"/>
    <x v="13"/>
    <d v="2024-09-26T00:00:00"/>
    <x v="2"/>
    <n v="14"/>
    <n v="0"/>
    <s v="تم التسليم عن طريق شركه شحن"/>
    <x v="0"/>
  </r>
  <r>
    <s v="عبير نور الدين"/>
    <x v="0"/>
    <s v="١٨ شارع البحيري بولاق الدكرور الجيزه"/>
    <x v="0"/>
    <x v="2"/>
    <x v="0"/>
    <s v="ثلاثه ادوار"/>
    <s v="كيفنج"/>
    <n v="1"/>
    <s v="100"/>
    <x v="1"/>
    <s v="غير معروف"/>
    <n v="9450"/>
    <x v="1"/>
    <x v="13"/>
    <d v="2024-09-26T00:00:00"/>
    <x v="2"/>
    <n v="14"/>
    <n v="0"/>
    <s v="فشل التسليم"/>
    <x v="1"/>
  </r>
  <r>
    <s v="اسراء ابو العنين"/>
    <x v="0"/>
    <s v="القاهره الجديده"/>
    <x v="5"/>
    <x v="0"/>
    <x v="0"/>
    <s v="فردى"/>
    <s v="اسبانى"/>
    <n v="1"/>
    <s v="120"/>
    <x v="1"/>
    <s v="غير معروف"/>
    <n v="7460"/>
    <x v="0"/>
    <x v="15"/>
    <d v="2024-09-26T00:00:00"/>
    <x v="15"/>
    <n v="13"/>
    <n v="20"/>
    <s v="تم التسليم محمود على"/>
    <x v="0"/>
  </r>
  <r>
    <s v="وائل صادق"/>
    <x v="0"/>
    <s v="القاهره الجديده"/>
    <x v="5"/>
    <x v="0"/>
    <x v="0"/>
    <s v="فردى"/>
    <s v="كوين"/>
    <n v="1"/>
    <s v="140"/>
    <x v="5"/>
    <s v="رمادى"/>
    <n v="9528"/>
    <x v="0"/>
    <x v="15"/>
    <d v="2024-09-26T00:00:00"/>
    <x v="15"/>
    <n v="13"/>
    <n v="20"/>
    <s v="تم التسليم محمود على"/>
    <x v="0"/>
  </r>
  <r>
    <s v="حسن مغرب"/>
    <x v="0"/>
    <s v="٦ اكتوبر الجيزه"/>
    <x v="0"/>
    <x v="0"/>
    <x v="0"/>
    <s v="دورين"/>
    <s v="كيفنج"/>
    <n v="1"/>
    <s v="120"/>
    <x v="4"/>
    <s v="غير معروف"/>
    <n v="12999"/>
    <x v="0"/>
    <x v="14"/>
    <d v="2024-09-27T00:00:00"/>
    <x v="16"/>
    <n v="13"/>
    <n v="18"/>
    <s v="تم التسليم محمود على"/>
    <x v="0"/>
  </r>
  <r>
    <s v="على السيد"/>
    <x v="0"/>
    <s v="الشروق"/>
    <x v="5"/>
    <x v="0"/>
    <x v="0"/>
    <s v="دورين"/>
    <s v="نوفال"/>
    <n v="1"/>
    <s v="90"/>
    <x v="1"/>
    <s v="غير معروف"/>
    <n v="5999"/>
    <x v="0"/>
    <x v="13"/>
    <d v="2024-09-29T00:00:00"/>
    <x v="2"/>
    <n v="17"/>
    <n v="0"/>
    <s v="فشل التسليم"/>
    <x v="1"/>
  </r>
  <r>
    <s v="هشام بسيونى"/>
    <x v="0"/>
    <s v="حدايق الاهرام"/>
    <x v="0"/>
    <x v="0"/>
    <x v="0"/>
    <s v="دورين"/>
    <s v="كيفنج"/>
    <n v="2"/>
    <s v="100"/>
    <x v="1"/>
    <s v="غير معروف"/>
    <n v="11949"/>
    <x v="1"/>
    <x v="13"/>
    <d v="2024-09-29T00:00:00"/>
    <x v="16"/>
    <n v="17"/>
    <n v="20"/>
    <s v="تم التسليم محمود على"/>
    <x v="0"/>
  </r>
  <r>
    <s v="هشام بسيونى"/>
    <x v="0"/>
    <s v="حدايق الاهرام"/>
    <x v="0"/>
    <x v="0"/>
    <x v="0"/>
    <s v="دورين"/>
    <s v="كيفنج"/>
    <n v="2"/>
    <s v="100"/>
    <x v="1"/>
    <s v="غير معروف"/>
    <n v="11949"/>
    <x v="1"/>
    <x v="13"/>
    <d v="2024-09-29T00:00:00"/>
    <x v="16"/>
    <n v="17"/>
    <n v="20"/>
    <s v="تم التسليم محمود على"/>
    <x v="0"/>
  </r>
  <r>
    <s v="احمد"/>
    <x v="0"/>
    <s v="الشروق"/>
    <x v="5"/>
    <x v="0"/>
    <x v="0"/>
    <s v="ثلاثه ادوار"/>
    <s v="كيفنج"/>
    <n v="1"/>
    <s v="80"/>
    <x v="0"/>
    <s v="غير معروف"/>
    <n v="16599"/>
    <x v="0"/>
    <x v="15"/>
    <d v="2024-09-30T00:00:00"/>
    <x v="15"/>
    <n v="17"/>
    <n v="20"/>
    <s v="تم التسليم محمود على"/>
    <x v="0"/>
  </r>
  <r>
    <s v="ساره وجيه"/>
    <x v="0"/>
    <s v="الغردقه"/>
    <x v="3"/>
    <x v="0"/>
    <x v="0"/>
    <s v="دورين"/>
    <s v="كيفنج"/>
    <n v="1"/>
    <s v="80"/>
    <x v="0"/>
    <s v="غير معروف"/>
    <n v="10999"/>
    <x v="0"/>
    <x v="15"/>
    <d v="2024-09-30T00:00:00"/>
    <x v="17"/>
    <n v="17"/>
    <n v="33"/>
    <s v="تم التسليم عن طريق شركه شحن"/>
    <x v="0"/>
  </r>
  <r>
    <s v="مها"/>
    <x v="0"/>
    <s v="لافيستا العين السخنه"/>
    <x v="7"/>
    <x v="0"/>
    <x v="0"/>
    <s v="دورين"/>
    <s v="كيفنج"/>
    <n v="1"/>
    <s v="140"/>
    <x v="2"/>
    <s v="غير معروف"/>
    <n v="13099"/>
    <x v="0"/>
    <x v="15"/>
    <d v="2024-09-30T00:00:00"/>
    <x v="15"/>
    <n v="17"/>
    <n v="20"/>
    <s v="تم التسليم عن طريق شركه شحن"/>
    <x v="0"/>
  </r>
  <r>
    <s v="بسام الشربينى"/>
    <x v="0"/>
    <s v="٦ اكتوبر الجيزه"/>
    <x v="0"/>
    <x v="0"/>
    <x v="0"/>
    <s v="دورين"/>
    <s v="كينج"/>
    <n v="1"/>
    <s v="120"/>
    <x v="6"/>
    <s v="غير معروف"/>
    <n v="13849"/>
    <x v="0"/>
    <x v="15"/>
    <d v="2024-09-30T00:00:00"/>
    <x v="18"/>
    <n v="17"/>
    <n v="37"/>
    <s v="تم التسليم محمود على"/>
    <x v="0"/>
  </r>
  <r>
    <s v="هبه عبد الفتاح"/>
    <x v="0"/>
    <s v="القاهره الجديده"/>
    <x v="5"/>
    <x v="0"/>
    <x v="2"/>
    <s v="4*1"/>
    <s v="غير معروف"/>
    <n v="1"/>
    <s v="غير معروف"/>
    <x v="1"/>
    <s v="رمادى"/>
    <n v="21999"/>
    <x v="0"/>
    <x v="15"/>
    <d v="2024-09-30T00:00:00"/>
    <x v="2"/>
    <n v="17"/>
    <n v="0"/>
    <s v="تم التسليم محمود على"/>
    <x v="0"/>
  </r>
  <r>
    <s v="اسراء ابراهيم"/>
    <x v="0"/>
    <s v="٦ اكتوبر الجيزه"/>
    <x v="0"/>
    <x v="0"/>
    <x v="0"/>
    <s v="دورين"/>
    <s v="كيفنج"/>
    <n v="1"/>
    <s v="80"/>
    <x v="0"/>
    <s v="غير معروف"/>
    <n v="10999"/>
    <x v="0"/>
    <x v="15"/>
    <d v="2024-09-30T00:00:00"/>
    <x v="19"/>
    <n v="17"/>
    <n v="32"/>
    <s v="تم التسليم محمود على"/>
    <x v="0"/>
  </r>
  <r>
    <s v="طارق كمال"/>
    <x v="0"/>
    <s v="المعادى"/>
    <x v="5"/>
    <x v="0"/>
    <x v="0"/>
    <s v="ثلاثه ادوار"/>
    <s v="كيفنج"/>
    <n v="1"/>
    <s v="90"/>
    <x v="1"/>
    <s v="غير معروف"/>
    <n v="17249"/>
    <x v="0"/>
    <x v="15"/>
    <d v="2024-09-30T00:00:00"/>
    <x v="20"/>
    <n v="17"/>
    <n v="21"/>
    <s v="تم التسليم محمود على"/>
    <x v="0"/>
  </r>
  <r>
    <s v="ديفد بهجت"/>
    <x v="0"/>
    <s v="فيصل الجيزه"/>
    <x v="0"/>
    <x v="0"/>
    <x v="1"/>
    <s v="2 ميكانزم"/>
    <s v="غير معروف"/>
    <n v="1"/>
    <s v="غير معروف"/>
    <x v="3"/>
    <s v="غير معروف"/>
    <n v="8349"/>
    <x v="0"/>
    <x v="14"/>
    <d v="2024-10-16T00:00:00"/>
    <x v="21"/>
    <n v="32"/>
    <n v="37"/>
    <s v="تم التسليم محمود على"/>
    <x v="0"/>
  </r>
  <r>
    <s v="اياد"/>
    <x v="0"/>
    <s v="المقطم"/>
    <x v="5"/>
    <x v="0"/>
    <x v="1"/>
    <s v="بمكتبة"/>
    <s v="غير معروف"/>
    <n v="1"/>
    <s v="غير معروف"/>
    <x v="3"/>
    <s v="غير معروف"/>
    <n v="7849"/>
    <x v="0"/>
    <x v="14"/>
    <d v="2024-10-29T00:00:00"/>
    <x v="22"/>
    <n v="45"/>
    <n v="46"/>
    <s v="تم التسليم محمود على"/>
    <x v="0"/>
  </r>
  <r>
    <s v="ميار خورشد"/>
    <x v="0"/>
    <s v="٦ اكتوبر الجيزه"/>
    <x v="0"/>
    <x v="0"/>
    <x v="0"/>
    <s v="منطبق"/>
    <s v="غير معروف"/>
    <n v="1"/>
    <s v="غير معروف"/>
    <x v="1"/>
    <s v="اسود"/>
    <n v="9399"/>
    <x v="0"/>
    <x v="14"/>
    <d v="2024-10-29T00:00:00"/>
    <x v="19"/>
    <n v="45"/>
    <n v="31"/>
    <s v="تم التسليم محمود على"/>
    <x v="0"/>
  </r>
  <r>
    <s v="عبد الله سيد"/>
    <x v="0"/>
    <s v="الشيخ زايد اكتوبر"/>
    <x v="0"/>
    <x v="0"/>
    <x v="0"/>
    <s v="فردى"/>
    <s v="اسبانى"/>
    <n v="1"/>
    <s v="140"/>
    <x v="1"/>
    <s v="غير معروف"/>
    <n v="11817"/>
    <x v="0"/>
    <x v="14"/>
    <d v="2024-10-29T00:00:00"/>
    <x v="19"/>
    <n v="45"/>
    <n v="31"/>
    <s v="تم التسليم محمود على"/>
    <x v="0"/>
  </r>
  <r>
    <s v="كينج سونا"/>
    <x v="0"/>
    <s v="الشروق"/>
    <x v="5"/>
    <x v="0"/>
    <x v="1"/>
    <s v="رف سحاب"/>
    <s v="غير معروف"/>
    <n v="1"/>
    <s v="غير معروف"/>
    <x v="3"/>
    <s v="غير معروف"/>
    <n v="8349"/>
    <x v="0"/>
    <x v="14"/>
    <d v="2024-10-29T00:00:00"/>
    <x v="23"/>
    <n v="45"/>
    <n v="35"/>
    <s v="تم التسليم محمود على"/>
    <x v="0"/>
  </r>
  <r>
    <s v="احمد خالد"/>
    <x v="0"/>
    <s v="الرحاب"/>
    <x v="5"/>
    <x v="0"/>
    <x v="0"/>
    <s v="فردى"/>
    <s v="فورجينا"/>
    <n v="2"/>
    <s v="120"/>
    <x v="0"/>
    <s v="غير معروف"/>
    <n v="17886"/>
    <x v="0"/>
    <x v="14"/>
    <d v="2024-10-29T00:00:00"/>
    <x v="2"/>
    <n v="45"/>
    <n v="0"/>
    <s v="فشل التسليم"/>
    <x v="1"/>
  </r>
  <r>
    <s v="احمد خالد"/>
    <x v="0"/>
    <s v="الرحاب"/>
    <x v="5"/>
    <x v="0"/>
    <x v="0"/>
    <s v="فردى"/>
    <s v="فورجينا"/>
    <n v="2"/>
    <s v="120"/>
    <x v="0"/>
    <s v="غير معروف"/>
    <n v="17886"/>
    <x v="0"/>
    <x v="14"/>
    <d v="2024-10-29T00:00:00"/>
    <x v="2"/>
    <n v="45"/>
    <n v="0"/>
    <s v="فشل التسليم"/>
    <x v="1"/>
  </r>
  <r>
    <s v="ساره"/>
    <x v="0"/>
    <s v="القاهره الجديده"/>
    <x v="5"/>
    <x v="0"/>
    <x v="0"/>
    <s v="فردى"/>
    <s v="اسبانى"/>
    <n v="2"/>
    <s v="120"/>
    <x v="0"/>
    <s v="غير معروف"/>
    <n v="10987"/>
    <x v="0"/>
    <x v="14"/>
    <d v="2024-10-29T00:00:00"/>
    <x v="24"/>
    <n v="45"/>
    <n v="29"/>
    <s v="تم التسليم محمود على"/>
    <x v="0"/>
  </r>
  <r>
    <s v="ساره"/>
    <x v="0"/>
    <s v="القاهره الجديده"/>
    <x v="5"/>
    <x v="0"/>
    <x v="0"/>
    <s v="فردى"/>
    <s v="اسبانى"/>
    <n v="2"/>
    <s v="120"/>
    <x v="0"/>
    <s v="غير معروف"/>
    <n v="10987"/>
    <x v="0"/>
    <x v="14"/>
    <d v="2024-10-29T00:00:00"/>
    <x v="24"/>
    <n v="45"/>
    <n v="29"/>
    <s v="تم التسليم محمود على"/>
    <x v="0"/>
  </r>
  <r>
    <s v="احمد ايمن"/>
    <x v="0"/>
    <s v="العبور"/>
    <x v="5"/>
    <x v="0"/>
    <x v="1"/>
    <s v="2 ميكانزم"/>
    <s v="غير معروف"/>
    <n v="1"/>
    <s v="غير معروف"/>
    <x v="3"/>
    <s v="غير معروف"/>
    <n v="10319"/>
    <x v="0"/>
    <x v="14"/>
    <d v="2024-10-29T00:00:00"/>
    <x v="23"/>
    <n v="45"/>
    <n v="35"/>
    <s v="تم التسليم محمود على"/>
    <x v="0"/>
  </r>
  <r>
    <s v="مصطفي غنيم"/>
    <x v="0"/>
    <s v="اسيوط"/>
    <x v="8"/>
    <x v="0"/>
    <x v="0"/>
    <s v="دورين"/>
    <s v="كيفنج"/>
    <n v="1"/>
    <s v="120"/>
    <x v="4"/>
    <s v="غير معروف"/>
    <n v="12999"/>
    <x v="0"/>
    <x v="14"/>
    <d v="2024-11-20T00:00:00"/>
    <x v="25"/>
    <n v="67"/>
    <n v="33"/>
    <s v="تم التسليم عن طريق شركه شحن"/>
    <x v="0"/>
  </r>
  <r>
    <s v="حسام عبدون"/>
    <x v="0"/>
    <s v="الغردقه"/>
    <x v="3"/>
    <x v="0"/>
    <x v="2"/>
    <s v="4*1"/>
    <s v="غير معروف"/>
    <n v="1"/>
    <s v="غير معروف"/>
    <x v="1"/>
    <s v="رمادى"/>
    <n v="21999"/>
    <x v="0"/>
    <x v="14"/>
    <d v="2024-11-20T00:00:00"/>
    <x v="2"/>
    <n v="67"/>
    <n v="0"/>
    <s v="فشل التسليم"/>
    <x v="1"/>
  </r>
  <r>
    <s v="رامى"/>
    <x v="0"/>
    <s v="الشروق"/>
    <x v="5"/>
    <x v="0"/>
    <x v="0"/>
    <s v="دورين"/>
    <s v="نوفال"/>
    <n v="1"/>
    <s v="100"/>
    <x v="4"/>
    <s v="غير معروف"/>
    <n v="12399"/>
    <x v="0"/>
    <x v="14"/>
    <d v="2024-11-20T00:00:00"/>
    <x v="26"/>
    <n v="67"/>
    <n v="17"/>
    <s v="تم التسليم عن طريق شركه شحن"/>
    <x v="0"/>
  </r>
  <r>
    <s v="رحاب"/>
    <x v="0"/>
    <s v="القاهره الجديده"/>
    <x v="5"/>
    <x v="0"/>
    <x v="2"/>
    <s v="4*1"/>
    <s v="غير معروف"/>
    <n v="1"/>
    <s v="غير معروف"/>
    <x v="1"/>
    <s v="رمادى"/>
    <n v="21999"/>
    <x v="0"/>
    <x v="14"/>
    <d v="2024-11-20T00:00:00"/>
    <x v="27"/>
    <n v="67"/>
    <n v="25"/>
    <s v="تم التسليم محمود على"/>
    <x v="0"/>
  </r>
  <r>
    <s v="فؤاد المنسي"/>
    <x v="0"/>
    <s v="المقطم"/>
    <x v="5"/>
    <x v="0"/>
    <x v="0"/>
    <s v="دورين"/>
    <s v="نوفال"/>
    <n v="1"/>
    <s v="80"/>
    <x v="0"/>
    <s v="غير معروف"/>
    <n v="10999"/>
    <x v="0"/>
    <x v="14"/>
    <d v="2024-11-20T00:00:00"/>
    <x v="17"/>
    <n v="67"/>
    <n v="32"/>
    <s v="تم التسليم محمود على"/>
    <x v="0"/>
  </r>
  <r>
    <s v="mohannad"/>
    <x v="0"/>
    <s v="المعادى"/>
    <x v="5"/>
    <x v="0"/>
    <x v="0"/>
    <s v="دورين"/>
    <s v="كيفنج"/>
    <s v="غير معروف"/>
    <s v="80"/>
    <x v="0"/>
    <s v="غير معروف"/>
    <n v="10999"/>
    <x v="0"/>
    <x v="16"/>
    <d v="2024-11-20T00:00:00"/>
    <x v="17"/>
    <n v="66"/>
    <n v="31"/>
    <s v="تم التسليم محمود على"/>
    <x v="0"/>
  </r>
  <r>
    <s v="mohannad"/>
    <x v="0"/>
    <s v="المعادى"/>
    <x v="5"/>
    <x v="0"/>
    <x v="0"/>
    <s v="دورين"/>
    <s v="كيفنج"/>
    <s v="غير معروف"/>
    <s v="80"/>
    <x v="0"/>
    <s v="غير معروف"/>
    <n v="10999"/>
    <x v="0"/>
    <x v="16"/>
    <d v="2024-11-20T00:00:00"/>
    <x v="17"/>
    <n v="66"/>
    <n v="31"/>
    <s v="تم التسليم محمود على"/>
    <x v="0"/>
  </r>
  <r>
    <s v="Mohamed Ayman"/>
    <x v="0"/>
    <s v="مدينة بدر"/>
    <x v="5"/>
    <x v="0"/>
    <x v="2"/>
    <s v="4*1"/>
    <s v="غير معروف"/>
    <s v="غير معروف"/>
    <s v="غير معروف"/>
    <x v="1"/>
    <s v="رمادى"/>
    <n v="21999"/>
    <x v="0"/>
    <x v="16"/>
    <d v="2024-11-20T00:00:00"/>
    <x v="23"/>
    <n v="66"/>
    <n v="34"/>
    <s v="تم التسليم محمود على"/>
    <x v="0"/>
  </r>
  <r>
    <s v="اسامه"/>
    <x v="0"/>
    <s v="العين السخنه"/>
    <x v="7"/>
    <x v="0"/>
    <x v="1"/>
    <s v="2 ميكانزم"/>
    <s v="غير معروف"/>
    <s v="غير معروف"/>
    <s v="غير معروف"/>
    <x v="3"/>
    <s v="غير معروف"/>
    <n v="7849"/>
    <x v="1"/>
    <x v="17"/>
    <d v="2024-10-30T00:00:00"/>
    <x v="28"/>
    <n v="44"/>
    <n v="59"/>
    <s v="تم التسليم عن طريق شركه شحن"/>
    <x v="0"/>
  </r>
  <r>
    <s v="اوسكار راتن"/>
    <x v="1"/>
    <s v="المخزن ابو الغيط"/>
    <x v="6"/>
    <x v="4"/>
    <x v="0"/>
    <s v="دورين"/>
    <s v="كيفنج"/>
    <s v="غير معروف"/>
    <s v="80"/>
    <x v="0"/>
    <s v="غير معروف"/>
    <n v="5074"/>
    <x v="2"/>
    <x v="18"/>
    <d v="2024-10-05T00:00:00"/>
    <x v="29"/>
    <n v="14"/>
    <n v="21"/>
    <s v="تم التسليم محمود على"/>
    <x v="0"/>
  </r>
  <r>
    <s v="تاكى"/>
    <x v="1"/>
    <s v="العباسيه"/>
    <x v="5"/>
    <x v="3"/>
    <x v="0"/>
    <s v="دورين"/>
    <s v="كينج"/>
    <s v="غير معروف"/>
    <s v="100"/>
    <x v="7"/>
    <s v="غير معروف"/>
    <n v="6250"/>
    <x v="2"/>
    <x v="19"/>
    <d v="2024-10-08T00:00:00"/>
    <x v="25"/>
    <n v="15"/>
    <n v="24"/>
    <s v="تم التسليم محمود على"/>
    <x v="0"/>
  </r>
  <r>
    <s v="تاكى"/>
    <x v="1"/>
    <s v="العباسيه"/>
    <x v="5"/>
    <x v="3"/>
    <x v="0"/>
    <s v="دورين"/>
    <s v="كينج"/>
    <s v="غير معروف"/>
    <s v="100"/>
    <x v="7"/>
    <s v="غير معروف"/>
    <n v="6250"/>
    <x v="2"/>
    <x v="19"/>
    <d v="2024-10-08T00:00:00"/>
    <x v="25"/>
    <n v="15"/>
    <n v="24"/>
    <s v="تم التسليم محمود على"/>
    <x v="0"/>
  </r>
  <r>
    <s v="ولاء بدوى"/>
    <x v="0"/>
    <s v="العباسيه"/>
    <x v="5"/>
    <x v="0"/>
    <x v="0"/>
    <s v="فردى"/>
    <s v="فورجينا"/>
    <s v="غير معروف"/>
    <s v="120"/>
    <x v="0"/>
    <s v="غير معروف"/>
    <n v="8943"/>
    <x v="1"/>
    <x v="20"/>
    <d v="2024-11-10T00:00:00"/>
    <x v="30"/>
    <n v="45"/>
    <n v="14"/>
    <s v="تم التسليم محمود على"/>
    <x v="0"/>
  </r>
  <r>
    <s v="عبد الرحمن يسري"/>
    <x v="0"/>
    <s v="٦ اكتوبر الجيزه"/>
    <x v="0"/>
    <x v="0"/>
    <x v="1"/>
    <s v="رف سحاب"/>
    <s v="غير معروف"/>
    <s v="غير معروف"/>
    <s v="غير معروف"/>
    <x v="3"/>
    <s v="غير معروف"/>
    <n v="8349"/>
    <x v="1"/>
    <x v="20"/>
    <d v="2024-11-10T00:00:00"/>
    <x v="2"/>
    <n v="45"/>
    <n v="0"/>
    <s v="فشل التسليم"/>
    <x v="1"/>
  </r>
  <r>
    <s v="شيك هومز"/>
    <x v="1"/>
    <s v="التجمع الخامس"/>
    <x v="5"/>
    <x v="1"/>
    <x v="2"/>
    <s v="4*1"/>
    <s v="غير معروف"/>
    <s v="غير معروف"/>
    <s v="غير معروف"/>
    <x v="3"/>
    <s v="نبيتى "/>
    <n v="14950"/>
    <x v="0"/>
    <x v="20"/>
    <d v="2024-10-14T00:00:00"/>
    <x v="24"/>
    <n v="18"/>
    <n v="17"/>
    <s v="تم التسليم محمود على"/>
    <x v="0"/>
  </r>
  <r>
    <s v="شيك هومز"/>
    <x v="1"/>
    <m/>
    <x v="4"/>
    <x v="1"/>
    <x v="0"/>
    <s v="دورين"/>
    <s v="كينج"/>
    <s v="غير معروف"/>
    <s v="100"/>
    <x v="8"/>
    <s v="غير معروف"/>
    <n v="9208"/>
    <x v="1"/>
    <x v="20"/>
    <d v="2024-10-14T00:00:00"/>
    <x v="2"/>
    <n v="18"/>
    <n v="0"/>
    <s v="فشل التسليم"/>
    <x v="1"/>
  </r>
  <r>
    <s v="شيك هومز"/>
    <x v="1"/>
    <m/>
    <x v="4"/>
    <x v="1"/>
    <x v="0"/>
    <s v="فردى"/>
    <s v="اسبانى"/>
    <s v="غير معروف"/>
    <s v="120"/>
    <x v="0"/>
    <s v="غير معروف"/>
    <n v="7433"/>
    <x v="0"/>
    <x v="21"/>
    <d v="2024-10-20T00:00:00"/>
    <x v="21"/>
    <n v="21"/>
    <n v="22"/>
    <s v="تم التسليم محمود على"/>
    <x v="0"/>
  </r>
  <r>
    <s v="اوسكار راتن"/>
    <x v="1"/>
    <s v="المخزن ابو الغيط"/>
    <x v="6"/>
    <x v="4"/>
    <x v="0"/>
    <s v="فردى"/>
    <s v="فورجينا"/>
    <s v="غير معروف"/>
    <s v="120"/>
    <x v="0"/>
    <s v="غير معروف"/>
    <n v="4020"/>
    <x v="2"/>
    <x v="21"/>
    <d v="2024-10-12T00:00:00"/>
    <x v="29"/>
    <n v="13"/>
    <n v="13"/>
    <s v="تم التسليم محمود على"/>
    <x v="0"/>
  </r>
  <r>
    <s v="الحج محمد السويس"/>
    <x v="0"/>
    <s v="السويس"/>
    <x v="7"/>
    <x v="5"/>
    <x v="0"/>
    <s v="دورين"/>
    <s v="فانتستيك"/>
    <s v="غير معروف"/>
    <s v="100"/>
    <x v="9"/>
    <s v="غير معروف"/>
    <n v="8544.9054400000005"/>
    <x v="3"/>
    <x v="22"/>
    <d v="2024-10-09T00:00:00"/>
    <x v="27"/>
    <n v="8"/>
    <n v="8"/>
    <s v="تم التسليم بمعرفه الحج سيد"/>
    <x v="0"/>
  </r>
  <r>
    <s v="الحج محمد السويس"/>
    <x v="0"/>
    <s v="السويس"/>
    <x v="7"/>
    <x v="5"/>
    <x v="0"/>
    <s v="منطبق"/>
    <s v="غير معروف"/>
    <s v="غير معروف"/>
    <s v="غير معروف"/>
    <x v="1"/>
    <s v="بيج"/>
    <n v="4600"/>
    <x v="3"/>
    <x v="22"/>
    <d v="2024-10-09T00:00:00"/>
    <x v="27"/>
    <n v="8"/>
    <n v="8"/>
    <s v="تم التسليم بمعرفه الحج سيد"/>
    <x v="0"/>
  </r>
  <r>
    <s v="الحج محمد السويس"/>
    <x v="0"/>
    <s v="السويس"/>
    <x v="7"/>
    <x v="5"/>
    <x v="2"/>
    <s v="فنيسيا"/>
    <s v="غير معروف"/>
    <s v="غير معروف"/>
    <s v="غير معروف"/>
    <x v="1"/>
    <s v="رصاصي مشجر"/>
    <n v="10000"/>
    <x v="3"/>
    <x v="22"/>
    <d v="2024-10-09T00:00:00"/>
    <x v="27"/>
    <n v="8"/>
    <n v="8"/>
    <s v="تم التسليم بمعرفه الحج سيد"/>
    <x v="0"/>
  </r>
  <r>
    <s v="الحج محمد السويس"/>
    <x v="0"/>
    <s v="السويس"/>
    <x v="7"/>
    <x v="5"/>
    <x v="5"/>
    <s v="غير معروف"/>
    <s v="غير معروف"/>
    <s v="غير معروف"/>
    <s v="غير معروف"/>
    <x v="1"/>
    <s v="نبيتى "/>
    <n v="10050.264666666668"/>
    <x v="3"/>
    <x v="22"/>
    <d v="2024-10-09T00:00:00"/>
    <x v="27"/>
    <n v="8"/>
    <n v="8"/>
    <s v="تم التسليم بمعرفه الحج سيد"/>
    <x v="0"/>
  </r>
  <r>
    <s v="عمرو الأسود"/>
    <x v="0"/>
    <s v="الزمالك"/>
    <x v="5"/>
    <x v="0"/>
    <x v="0"/>
    <s v="منطبق"/>
    <s v="غير معروف"/>
    <s v="غير معروف"/>
    <s v="غير معروف"/>
    <x v="1"/>
    <s v="اسود"/>
    <n v="8899"/>
    <x v="1"/>
    <x v="23"/>
    <d v="2024-11-17T00:00:00"/>
    <x v="2"/>
    <n v="45"/>
    <n v="0"/>
    <s v="فشل التسليم"/>
    <x v="1"/>
  </r>
  <r>
    <s v="شيك هومز"/>
    <x v="1"/>
    <s v="مخزن شيك هومز"/>
    <x v="5"/>
    <x v="1"/>
    <x v="2"/>
    <s v="4*1"/>
    <s v="غير معروف"/>
    <s v="غير معروف"/>
    <s v="غير معروف"/>
    <x v="8"/>
    <s v="بترولى "/>
    <n v="14550"/>
    <x v="0"/>
    <x v="24"/>
    <d v="2024-10-29T00:00:00"/>
    <x v="22"/>
    <n v="21"/>
    <n v="22"/>
    <s v="تم التسليم محمود على"/>
    <x v="0"/>
  </r>
  <r>
    <s v="شيك هومز"/>
    <x v="1"/>
    <s v="٦ اكتوبر الجيزه"/>
    <x v="0"/>
    <x v="1"/>
    <x v="2"/>
    <s v="4*1"/>
    <s v="غير معروف"/>
    <s v="غير معروف"/>
    <s v="غير معروف"/>
    <x v="8"/>
    <s v="بترولى "/>
    <n v="14550"/>
    <x v="0"/>
    <x v="25"/>
    <d v="2024-10-29T00:00:00"/>
    <x v="19"/>
    <n v="22"/>
    <n v="8"/>
    <s v="تم التسليم محمود على"/>
    <x v="0"/>
  </r>
  <r>
    <s v="شيك هومز"/>
    <x v="1"/>
    <m/>
    <x v="4"/>
    <x v="1"/>
    <x v="2"/>
    <s v="4*1"/>
    <s v="غير معروف"/>
    <s v="غير معروف"/>
    <s v="غير معروف"/>
    <x v="8"/>
    <s v="نبيتى "/>
    <n v="14550"/>
    <x v="1"/>
    <x v="26"/>
    <d v="2024-10-31T00:00:00"/>
    <x v="31"/>
    <n v="21"/>
    <n v="23"/>
    <s v="تم التسليم محمود على"/>
    <x v="0"/>
  </r>
  <r>
    <s v="keira"/>
    <x v="0"/>
    <s v="القاهره الجديده"/>
    <x v="5"/>
    <x v="0"/>
    <x v="0"/>
    <s v="دورين"/>
    <s v="نوفال"/>
    <s v="غير معروف"/>
    <s v="140-100"/>
    <x v="10"/>
    <s v="غير معروف"/>
    <n v="12899"/>
    <x v="1"/>
    <x v="27"/>
    <d v="2024-12-17T00:00:00"/>
    <x v="31"/>
    <n v="65"/>
    <n v="20"/>
    <s v="تم التسليم محمود على"/>
    <x v="0"/>
  </r>
  <r>
    <s v="tarek"/>
    <x v="0"/>
    <s v="مصر الجديده"/>
    <x v="5"/>
    <x v="0"/>
    <x v="0"/>
    <s v="دورين"/>
    <s v="كيفنج"/>
    <s v="غير معروف"/>
    <s v="80"/>
    <x v="0"/>
    <s v="غير معروف"/>
    <n v="10499"/>
    <x v="0"/>
    <x v="28"/>
    <d v="2024-12-19T00:00:00"/>
    <x v="21"/>
    <n v="64"/>
    <n v="5"/>
    <s v="تم التسليم محمود على"/>
    <x v="0"/>
  </r>
  <r>
    <s v="reem"/>
    <x v="0"/>
    <s v="البطاش اسكندريه"/>
    <x v="1"/>
    <x v="0"/>
    <x v="0"/>
    <s v="دورين"/>
    <s v="نوفال"/>
    <s v="غير معروف"/>
    <s v="100-140"/>
    <x v="10"/>
    <s v="غير معروف"/>
    <n v="12899"/>
    <x v="0"/>
    <x v="29"/>
    <d v="2024-12-22T00:00:00"/>
    <x v="32"/>
    <n v="66"/>
    <n v="47"/>
    <s v="تم التسليم عن طريق شركه شحن"/>
    <x v="0"/>
  </r>
  <r>
    <s v="هشام سامى"/>
    <x v="0"/>
    <s v="41 كومبوند جولدن جستس الدور 4 شقه 4"/>
    <x v="5"/>
    <x v="6"/>
    <x v="0"/>
    <s v="فردى"/>
    <s v="بلحه"/>
    <s v="غير معروف"/>
    <s v="140"/>
    <x v="11"/>
    <s v="خشب بنى فاتح"/>
    <n v="5135"/>
    <x v="0"/>
    <x v="30"/>
    <d v="2024-11-17T00:00:00"/>
    <x v="28"/>
    <n v="28"/>
    <n v="25"/>
    <s v="تم التسليم محمود على"/>
    <x v="0"/>
  </r>
  <r>
    <s v="شيك هومز"/>
    <x v="1"/>
    <s v="٦ اكتوبر الجيزه"/>
    <x v="0"/>
    <x v="1"/>
    <x v="0"/>
    <s v="دورين"/>
    <s v="فانتستيك"/>
    <s v="غير معروف"/>
    <s v="100"/>
    <x v="12"/>
    <s v="غير معروف"/>
    <n v="12777.5"/>
    <x v="1"/>
    <x v="31"/>
    <d v="2024-11-12T00:00:00"/>
    <x v="33"/>
    <n v="21"/>
    <n v="27"/>
    <s v="تم التسليم محمود على"/>
    <x v="0"/>
  </r>
  <r>
    <s v="شيك هومز"/>
    <x v="1"/>
    <s v="٦ اكتوبر الجيزه"/>
    <x v="0"/>
    <x v="1"/>
    <x v="0"/>
    <s v="دورين"/>
    <s v="فانتستيك"/>
    <s v="غير معروف"/>
    <s v="100"/>
    <x v="12"/>
    <s v="غير معروف"/>
    <n v="12777.5"/>
    <x v="1"/>
    <x v="31"/>
    <d v="2024-11-12T00:00:00"/>
    <x v="33"/>
    <n v="21"/>
    <n v="27"/>
    <s v="تم التسليم محمود على"/>
    <x v="0"/>
  </r>
  <r>
    <s v="اوسكار راتن"/>
    <x v="1"/>
    <s v="المعرض مدينه نصر"/>
    <x v="5"/>
    <x v="4"/>
    <x v="0"/>
    <s v="دورين"/>
    <s v="فانتستيك"/>
    <s v="غير معروف"/>
    <s v="100"/>
    <x v="12"/>
    <s v="غير معروف"/>
    <n v="8544.91"/>
    <x v="2"/>
    <x v="31"/>
    <m/>
    <x v="2"/>
    <n v="0"/>
    <n v="0"/>
    <s v="فشل التسليم"/>
    <x v="1"/>
  </r>
  <r>
    <s v="فاطمه محمد"/>
    <x v="0"/>
    <s v="٦ اكتوبر الجيزه"/>
    <x v="0"/>
    <x v="0"/>
    <x v="0"/>
    <s v="فردى"/>
    <s v="فورجينا"/>
    <s v="غير معروف"/>
    <s v="120"/>
    <x v="0"/>
    <s v="غير معروف"/>
    <n v="8943"/>
    <x v="1"/>
    <x v="32"/>
    <d v="2024-11-14T00:00:00"/>
    <x v="33"/>
    <n v="24"/>
    <n v="28"/>
    <s v="تم التسليم محمود على"/>
    <x v="0"/>
  </r>
  <r>
    <s v="شيك هومز"/>
    <x v="1"/>
    <m/>
    <x v="4"/>
    <x v="1"/>
    <x v="2"/>
    <s v="4*1"/>
    <s v="غير معروف"/>
    <s v="غير معروف"/>
    <s v="غير معروف"/>
    <x v="1"/>
    <s v="غير معروف"/>
    <n v="15516"/>
    <x v="0"/>
    <x v="33"/>
    <d v="2024-11-14T00:00:00"/>
    <x v="22"/>
    <n v="21"/>
    <n v="6"/>
    <s v="تم التسليم محمود على"/>
    <x v="0"/>
  </r>
  <r>
    <s v="شيك هومز"/>
    <x v="1"/>
    <m/>
    <x v="4"/>
    <x v="1"/>
    <x v="0"/>
    <s v="دورين"/>
    <s v="كينج"/>
    <s v="غير معروف"/>
    <s v="100"/>
    <x v="1"/>
    <s v="غير معروف"/>
    <n v="10045"/>
    <x v="1"/>
    <x v="34"/>
    <d v="2024-11-16T00:00:00"/>
    <x v="2"/>
    <n v="21"/>
    <n v="0"/>
    <s v="فشل التسليم"/>
    <x v="1"/>
  </r>
  <r>
    <s v="ساره"/>
    <x v="0"/>
    <s v="الشيخ زايد اكتوبر"/>
    <x v="0"/>
    <x v="0"/>
    <x v="0"/>
    <s v="دورين"/>
    <s v="كينج"/>
    <s v="غير معروف"/>
    <s v="90"/>
    <x v="1"/>
    <s v="غير معروف"/>
    <n v="11649"/>
    <x v="1"/>
    <x v="34"/>
    <d v="2024-11-10T00:00:00"/>
    <x v="33"/>
    <n v="15"/>
    <n v="23"/>
    <s v="تم التسليم محمود على"/>
    <x v="0"/>
  </r>
  <r>
    <s v="ساره"/>
    <x v="0"/>
    <s v="الشيخ زايد اكتوبر"/>
    <x v="0"/>
    <x v="0"/>
    <x v="0"/>
    <s v="دورين"/>
    <s v="كينج"/>
    <s v="غير معروف"/>
    <s v="90"/>
    <x v="1"/>
    <s v="غير معروف"/>
    <n v="11649"/>
    <x v="1"/>
    <x v="34"/>
    <d v="2024-11-10T00:00:00"/>
    <x v="33"/>
    <n v="15"/>
    <n v="23"/>
    <s v="تم التسليم محمود على"/>
    <x v="0"/>
  </r>
  <r>
    <s v="بولا هومزمارت"/>
    <x v="0"/>
    <s v="المعادى"/>
    <x v="5"/>
    <x v="0"/>
    <x v="0"/>
    <s v="فردى"/>
    <s v="اسبانى"/>
    <s v="غير معروف"/>
    <s v="100"/>
    <x v="0"/>
    <s v="غير معروف"/>
    <n v="5100"/>
    <x v="1"/>
    <x v="35"/>
    <d v="2024-11-11T00:00:00"/>
    <x v="34"/>
    <n v="14"/>
    <n v="24"/>
    <s v="تم التسليم محمود على"/>
    <x v="0"/>
  </r>
  <r>
    <s v="بولا هومزمارت"/>
    <x v="0"/>
    <s v="المعادى"/>
    <x v="5"/>
    <x v="0"/>
    <x v="0"/>
    <s v="فردى"/>
    <s v="اسبانى"/>
    <s v="غير معروف"/>
    <s v="120"/>
    <x v="0"/>
    <s v="غير معروف"/>
    <n v="5300"/>
    <x v="1"/>
    <x v="35"/>
    <d v="2024-11-11T00:00:00"/>
    <x v="34"/>
    <n v="14"/>
    <n v="24"/>
    <s v="تم التسليم محمود على"/>
    <x v="0"/>
  </r>
  <r>
    <s v="محمد شكرى"/>
    <x v="0"/>
    <s v="مدينتى"/>
    <x v="5"/>
    <x v="0"/>
    <x v="0"/>
    <s v="دورين"/>
    <s v="كيفنج"/>
    <s v="غير معروف"/>
    <s v="80"/>
    <x v="0"/>
    <s v="غير معروف"/>
    <n v="12099"/>
    <x v="0"/>
    <x v="36"/>
    <d v="2024-11-26T00:00:00"/>
    <x v="35"/>
    <n v="15"/>
    <n v="16"/>
    <s v="تم التسليم محمود على"/>
    <x v="0"/>
  </r>
  <r>
    <s v="شيك هومز"/>
    <x v="1"/>
    <s v="مخزن شيك هومز"/>
    <x v="5"/>
    <x v="1"/>
    <x v="2"/>
    <s v="4*1"/>
    <s v="ارينا"/>
    <s v="غير معروف"/>
    <s v="غير معروف"/>
    <x v="8"/>
    <s v="بترولى"/>
    <n v="15872"/>
    <x v="0"/>
    <x v="37"/>
    <d v="2024-12-03T00:00:00"/>
    <x v="28"/>
    <n v="25"/>
    <n v="6"/>
    <s v="تم التسليم محمود على"/>
    <x v="0"/>
  </r>
  <r>
    <s v="منزلى"/>
    <x v="0"/>
    <s v="التجمع الخامس"/>
    <x v="5"/>
    <x v="6"/>
    <x v="0"/>
    <s v="فردى"/>
    <s v="فورجينا"/>
    <s v="غير معروف"/>
    <s v="120"/>
    <x v="0"/>
    <s v="غير معروف"/>
    <n v="4520"/>
    <x v="2"/>
    <x v="38"/>
    <d v="2024-11-22T00:00:00"/>
    <x v="34"/>
    <n v="12"/>
    <n v="11"/>
    <s v="تم التسليم محمود على"/>
    <x v="0"/>
  </r>
  <r>
    <s v="اوسكار راتن"/>
    <x v="1"/>
    <s v="المخزن ابو الغيط"/>
    <x v="6"/>
    <x v="4"/>
    <x v="0"/>
    <s v="دورين"/>
    <s v="كينج"/>
    <s v="غير معروف"/>
    <s v="90"/>
    <x v="1"/>
    <s v="غير معروف"/>
    <n v="5766"/>
    <x v="2"/>
    <x v="39"/>
    <d v="2024-11-26T00:00:00"/>
    <x v="36"/>
    <n v="14"/>
    <n v="13"/>
    <s v="تم التسليم محمود على"/>
    <x v="0"/>
  </r>
  <r>
    <s v="حماده"/>
    <x v="0"/>
    <s v="المعادى"/>
    <x v="5"/>
    <x v="0"/>
    <x v="0"/>
    <s v="فردى"/>
    <s v="فورجينا"/>
    <s v="غير معروف"/>
    <s v="160"/>
    <x v="6"/>
    <s v="غير معروف"/>
    <n v="11395"/>
    <x v="0"/>
    <x v="39"/>
    <d v="2024-11-24T00:00:00"/>
    <x v="35"/>
    <n v="12"/>
    <n v="15"/>
    <s v="تم التسليم محمود على"/>
    <x v="0"/>
  </r>
  <r>
    <s v="صفاء عبد الباقي"/>
    <x v="0"/>
    <s v="التجمع الخامس"/>
    <x v="5"/>
    <x v="0"/>
    <x v="0"/>
    <s v="دورين"/>
    <s v="كينج"/>
    <s v="غير معروف"/>
    <s v="80"/>
    <x v="0"/>
    <s v="غير معروف"/>
    <n v="12919"/>
    <x v="0"/>
    <x v="40"/>
    <d v="2024-11-30T00:00:00"/>
    <x v="35"/>
    <n v="16"/>
    <n v="13"/>
    <s v="تم التسليم محمود على"/>
    <x v="0"/>
  </r>
  <r>
    <s v="اوسكار راتن"/>
    <x v="1"/>
    <s v="المخزن ابو الغيط"/>
    <x v="6"/>
    <x v="4"/>
    <x v="0"/>
    <s v="دورين"/>
    <s v="نوفال"/>
    <s v="غير معروف"/>
    <s v="120"/>
    <x v="4"/>
    <s v="غير معروف"/>
    <n v="6376"/>
    <x v="2"/>
    <x v="40"/>
    <d v="2024-11-27T00:00:00"/>
    <x v="36"/>
    <n v="13"/>
    <n v="11"/>
    <s v="تم التسليم محمود على"/>
    <x v="0"/>
  </r>
  <r>
    <s v="اوسكار راتن"/>
    <x v="1"/>
    <s v="المخزن ابو الغيط"/>
    <x v="6"/>
    <x v="4"/>
    <x v="0"/>
    <s v="دورين"/>
    <s v="نوفال"/>
    <s v="غير معروف"/>
    <s v="90"/>
    <x v="1"/>
    <s v="غير معروف"/>
    <n v="5294"/>
    <x v="2"/>
    <x v="40"/>
    <d v="2024-11-27T00:00:00"/>
    <x v="36"/>
    <n v="13"/>
    <n v="11"/>
    <s v="تم التسليم محمود على"/>
    <x v="0"/>
  </r>
  <r>
    <s v="رندا العامرى"/>
    <x v="0"/>
    <s v="٦ اكتوبر الجيزه"/>
    <x v="0"/>
    <x v="7"/>
    <x v="0"/>
    <s v="دورين"/>
    <s v="كيفنج"/>
    <s v="غير معروف"/>
    <s v="80"/>
    <x v="0"/>
    <s v="غير معروف"/>
    <n v="7396"/>
    <x v="0"/>
    <x v="41"/>
    <d v="2024-11-28T00:00:00"/>
    <x v="37"/>
    <n v="11"/>
    <n v="9"/>
    <s v="تم التسليم محمود على"/>
    <x v="0"/>
  </r>
  <r>
    <s v="ساره"/>
    <x v="0"/>
    <s v="٦ اكتوبر الجيزه"/>
    <x v="0"/>
    <x v="0"/>
    <x v="0"/>
    <s v="دورين"/>
    <s v="كينج"/>
    <s v="غير معروف"/>
    <s v="90"/>
    <x v="1"/>
    <s v="غير معروف"/>
    <n v="13439"/>
    <x v="1"/>
    <x v="42"/>
    <d v="2024-12-05T00:00:00"/>
    <x v="37"/>
    <n v="15"/>
    <n v="6"/>
    <s v="تم التسليم محمود على"/>
    <x v="0"/>
  </r>
  <r>
    <s v="تاكى"/>
    <x v="1"/>
    <s v="العباسيه"/>
    <x v="5"/>
    <x v="3"/>
    <x v="0"/>
    <s v="فردى"/>
    <s v="امريكى"/>
    <s v="غير معروف"/>
    <s v="160"/>
    <x v="1"/>
    <s v="غير معروف"/>
    <n v="5100"/>
    <x v="2"/>
    <x v="40"/>
    <d v="2024-12-08T00:00:00"/>
    <x v="2"/>
    <n v="24"/>
    <n v="0"/>
    <s v="فشل التسليم"/>
    <x v="1"/>
  </r>
  <r>
    <s v="محمد حمدى"/>
    <x v="0"/>
    <s v="مصر الجديده"/>
    <x v="5"/>
    <x v="2"/>
    <x v="0"/>
    <s v="فردى"/>
    <s v="كوين"/>
    <s v="غير معروف"/>
    <s v="160"/>
    <x v="5"/>
    <s v="ابيض"/>
    <n v="6000"/>
    <x v="1"/>
    <x v="43"/>
    <d v="2024-12-02T00:00:00"/>
    <x v="35"/>
    <n v="10"/>
    <n v="5"/>
    <s v="تم التسليم محمود على"/>
    <x v="0"/>
  </r>
  <r>
    <s v="بافلى هانى"/>
    <x v="0"/>
    <s v="شبرا"/>
    <x v="5"/>
    <x v="0"/>
    <x v="0"/>
    <s v="فردى"/>
    <s v="اسبانى"/>
    <s v="غير معروف"/>
    <s v="120"/>
    <x v="4"/>
    <s v="غير معروف"/>
    <n v="10885"/>
    <x v="1"/>
    <x v="44"/>
    <d v="2024-12-05T00:00:00"/>
    <x v="38"/>
    <n v="11"/>
    <n v="16"/>
    <s v="تم التسليم محمود على"/>
    <x v="0"/>
  </r>
  <r>
    <s v="تاكى"/>
    <x v="1"/>
    <s v="العباسيه"/>
    <x v="5"/>
    <x v="3"/>
    <x v="2"/>
    <s v="t1"/>
    <s v="t1"/>
    <s v="غير معروف"/>
    <s v="غير معروف"/>
    <x v="3"/>
    <s v="غير معروف"/>
    <n v="6000"/>
    <x v="1"/>
    <x v="45"/>
    <d v="2024-12-05T00:00:00"/>
    <x v="39"/>
    <n v="16"/>
    <n v="1"/>
    <s v="تم التسليم م محمد"/>
    <x v="0"/>
  </r>
  <r>
    <s v="رنا ميلاد"/>
    <x v="0"/>
    <s v="جليم الإسكندرية"/>
    <x v="1"/>
    <x v="0"/>
    <x v="1"/>
    <s v="غير معروف"/>
    <s v="مكتبه"/>
    <s v="غير معروف"/>
    <s v="غير معروف"/>
    <x v="3"/>
    <s v="غير معروف"/>
    <n v="8449"/>
    <x v="0"/>
    <x v="46"/>
    <d v="2024-12-10T00:00:00"/>
    <x v="40"/>
    <n v="13"/>
    <n v="26"/>
    <s v="تم التسليم عن طريق شركه شحن"/>
    <x v="0"/>
  </r>
  <r>
    <s v="محمد ناجى"/>
    <x v="0"/>
    <s v="مدينه نصر"/>
    <x v="5"/>
    <x v="0"/>
    <x v="1"/>
    <s v="دوران"/>
    <s v="ميكانزم"/>
    <s v="غير معروف"/>
    <s v="غير معروف"/>
    <x v="0"/>
    <s v="ابيض في بنى غامق"/>
    <n v="10249"/>
    <x v="1"/>
    <x v="46"/>
    <d v="2024-12-10T00:00:00"/>
    <x v="41"/>
    <n v="13"/>
    <n v="22"/>
    <s v="تم التسليم محمود على"/>
    <x v="0"/>
  </r>
  <r>
    <s v="احمد عبد الستار"/>
    <x v="0"/>
    <s v="المندره اسكندريه"/>
    <x v="1"/>
    <x v="0"/>
    <x v="0"/>
    <s v="دورين"/>
    <s v="كيفنج"/>
    <s v="غير معروف"/>
    <s v="100"/>
    <x v="1"/>
    <s v="غير معروف"/>
    <n v="14905"/>
    <x v="0"/>
    <x v="47"/>
    <d v="2024-12-15T00:00:00"/>
    <x v="2"/>
    <n v="16"/>
    <n v="0"/>
    <s v="فشل التسليم"/>
    <x v="1"/>
  </r>
  <r>
    <s v="نور"/>
    <x v="0"/>
    <s v="القاهره الجديده"/>
    <x v="5"/>
    <x v="0"/>
    <x v="1"/>
    <s v="دوران"/>
    <s v="ميكانزم"/>
    <s v="غير معروف"/>
    <s v="غير معروف"/>
    <x v="8"/>
    <s v="بنى غامق"/>
    <n v="10249"/>
    <x v="0"/>
    <x v="48"/>
    <d v="2024-12-12T00:00:00"/>
    <x v="2"/>
    <n v="12"/>
    <n v="0"/>
    <s v="فشل التسليم"/>
    <x v="1"/>
  </r>
  <r>
    <s v="نور"/>
    <x v="0"/>
    <s v="القاهره الجديده"/>
    <x v="5"/>
    <x v="0"/>
    <x v="1"/>
    <s v="رف سحاب"/>
    <s v="غير معروف"/>
    <s v="غير معروف"/>
    <s v="غير معروف"/>
    <x v="1"/>
    <s v="بنى غامق "/>
    <n v="9029"/>
    <x v="0"/>
    <x v="48"/>
    <d v="2024-12-12T00:00:00"/>
    <x v="2"/>
    <n v="12"/>
    <n v="0"/>
    <s v="فشل التسليم"/>
    <x v="1"/>
  </r>
  <r>
    <s v="تامر"/>
    <x v="0"/>
    <s v="العين السخنه"/>
    <x v="7"/>
    <x v="0"/>
    <x v="1"/>
    <s v="ميكانزم 2"/>
    <s v="غير معروف"/>
    <s v="غير معروف"/>
    <s v="غير معروف"/>
    <x v="8"/>
    <s v="بيج "/>
    <n v="9029"/>
    <x v="0"/>
    <x v="48"/>
    <d v="2024-12-12T00:00:00"/>
    <x v="2"/>
    <n v="12"/>
    <n v="0"/>
    <s v="فشل التسليم"/>
    <x v="1"/>
  </r>
  <r>
    <s v="هناء اسامه"/>
    <x v="0"/>
    <s v="القطاميه"/>
    <x v="5"/>
    <x v="0"/>
    <x v="0"/>
    <s v="دورين"/>
    <s v="نوفال"/>
    <s v="غير معروف"/>
    <s v="80"/>
    <x v="0"/>
    <s v="غير معروف"/>
    <n v="12099"/>
    <x v="0"/>
    <x v="49"/>
    <d v="2024-12-17T00:00:00"/>
    <x v="2"/>
    <n v="15"/>
    <n v="0"/>
    <s v="فشل التسليم"/>
    <x v="1"/>
  </r>
  <r>
    <s v="اوسكار راتن"/>
    <x v="1"/>
    <s v="المخزن ابو الغيط"/>
    <x v="6"/>
    <x v="4"/>
    <x v="0"/>
    <s v="دورين"/>
    <s v="كيفنج"/>
    <s v="غير معروف"/>
    <s v="90"/>
    <x v="2"/>
    <s v="غير معروف"/>
    <n v="5217"/>
    <x v="2"/>
    <x v="50"/>
    <d v="2024-12-14T00:00:00"/>
    <x v="38"/>
    <n v="13"/>
    <n v="9"/>
    <s v="تم التسليم محمود على"/>
    <x v="0"/>
  </r>
  <r>
    <s v="محمد عادل"/>
    <x v="0"/>
    <s v="العبور"/>
    <x v="5"/>
    <x v="0"/>
    <x v="0"/>
    <s v="منطبق"/>
    <s v="غير معروف"/>
    <s v="غير معروف"/>
    <s v="غير معروف"/>
    <x v="1"/>
    <s v="اسود"/>
    <n v="10249"/>
    <x v="1"/>
    <x v="51"/>
    <d v="2024-12-14T00:00:00"/>
    <x v="41"/>
    <n v="10"/>
    <n v="15"/>
    <s v="تم التسليم محمود على"/>
    <x v="0"/>
  </r>
  <r>
    <s v="مريم عنان"/>
    <x v="0"/>
    <s v="اب تاون كايرو التجمع الخامس"/>
    <x v="5"/>
    <x v="1"/>
    <x v="0"/>
    <s v="دورين"/>
    <s v="كينج"/>
    <s v="غير معروف"/>
    <s v="غير معروف"/>
    <x v="1"/>
    <s v="غير معروف"/>
    <n v="10445"/>
    <x v="1"/>
    <x v="52"/>
    <d v="2024-12-31T00:00:00"/>
    <x v="42"/>
    <n v="22"/>
    <n v="3"/>
    <s v="تم التسليم محمود على"/>
    <x v="0"/>
  </r>
  <r>
    <s v="هبه عطيه"/>
    <x v="0"/>
    <s v="القاهره الجديده"/>
    <x v="5"/>
    <x v="0"/>
    <x v="1"/>
    <s v="دوران"/>
    <s v="ميكانزم"/>
    <s v="غير معروف"/>
    <s v="غير معروف"/>
    <x v="8"/>
    <s v="بنى غامق"/>
    <n v="11199"/>
    <x v="1"/>
    <x v="53"/>
    <d v="2024-12-24T00:00:00"/>
    <x v="41"/>
    <n v="12"/>
    <n v="7"/>
    <s v="تم التسليم محمود على"/>
    <x v="0"/>
  </r>
  <r>
    <s v="حمدى ذكرى"/>
    <x v="0"/>
    <s v="٦ اكتوبر الجيزه"/>
    <x v="0"/>
    <x v="0"/>
    <x v="0"/>
    <s v="دورين"/>
    <s v="نوفال"/>
    <s v="غير معروف"/>
    <s v="80"/>
    <x v="1"/>
    <s v="غير معروف"/>
    <n v="13099"/>
    <x v="1"/>
    <x v="53"/>
    <d v="2024-12-28T00:00:00"/>
    <x v="43"/>
    <n v="16"/>
    <n v="17"/>
    <s v="تم التسليم محمود على"/>
    <x v="0"/>
  </r>
  <r>
    <s v="شيك هومز"/>
    <x v="1"/>
    <s v="مخزن شيك هومز"/>
    <x v="5"/>
    <x v="1"/>
    <x v="2"/>
    <s v="4*1"/>
    <s v="ارينا"/>
    <s v="غير معروف"/>
    <s v="غير معروف"/>
    <x v="8"/>
    <s v="روك ١٠"/>
    <n v="8700"/>
    <x v="2"/>
    <x v="54"/>
    <d v="2025-01-05T00:00:00"/>
    <x v="43"/>
    <n v="22"/>
    <n v="15"/>
    <s v="تم التسليم محمود على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B000000}" name="PivotTable20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8">
  <location ref="AW14:AX23" firstHeaderRow="1" firstDataRow="1" firstDataCol="1"/>
  <pivotFields count="25">
    <pivotField showAll="0"/>
    <pivotField showAll="0"/>
    <pivotField showAll="0"/>
    <pivotField axis="axisRow" showAll="0" insertBlankRow="1" sortType="descending">
      <items count="10">
        <item x="8"/>
        <item x="1"/>
        <item x="3"/>
        <item x="0"/>
        <item x="7"/>
        <item x="5"/>
        <item x="6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7">
        <item x="1"/>
        <item x="3"/>
        <item x="0"/>
        <item x="5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56">
        <item x="0"/>
        <item x="1"/>
        <item x="4"/>
        <item x="3"/>
        <item x="5"/>
        <item x="6"/>
        <item x="2"/>
        <item x="7"/>
        <item x="10"/>
        <item x="9"/>
        <item x="8"/>
        <item x="11"/>
        <item x="12"/>
        <item x="13"/>
        <item x="15"/>
        <item x="14"/>
        <item x="16"/>
        <item x="17"/>
        <item x="18"/>
        <item x="19"/>
        <item x="20"/>
        <item x="21"/>
        <item x="22"/>
        <item x="23"/>
        <item x="25"/>
        <item x="24"/>
        <item x="26"/>
        <item x="27"/>
        <item x="28"/>
        <item x="29"/>
        <item x="30"/>
        <item x="32"/>
        <item x="31"/>
        <item x="33"/>
        <item x="34"/>
        <item x="35"/>
        <item x="37"/>
        <item x="38"/>
        <item x="36"/>
        <item x="39"/>
        <item x="40"/>
        <item x="41"/>
        <item x="45"/>
        <item x="42"/>
        <item x="43"/>
        <item x="44"/>
        <item x="46"/>
        <item x="47"/>
        <item x="48"/>
        <item x="50"/>
        <item x="49"/>
        <item x="51"/>
        <item x="52"/>
        <item x="53"/>
        <item x="54"/>
        <item t="default"/>
      </items>
    </pivotField>
    <pivotField showAll="0"/>
    <pivotField showAll="0">
      <items count="45">
        <item x="0"/>
        <item x="1"/>
        <item x="5"/>
        <item x="3"/>
        <item x="4"/>
        <item x="8"/>
        <item x="6"/>
        <item x="10"/>
        <item x="7"/>
        <item x="11"/>
        <item x="12"/>
        <item x="13"/>
        <item x="9"/>
        <item x="14"/>
        <item x="26"/>
        <item x="16"/>
        <item x="15"/>
        <item x="20"/>
        <item x="27"/>
        <item x="30"/>
        <item x="29"/>
        <item x="24"/>
        <item x="19"/>
        <item x="17"/>
        <item x="25"/>
        <item x="23"/>
        <item x="18"/>
        <item x="21"/>
        <item x="22"/>
        <item x="31"/>
        <item x="28"/>
        <item x="33"/>
        <item x="39"/>
        <item x="34"/>
        <item x="36"/>
        <item x="37"/>
        <item x="35"/>
        <item x="32"/>
        <item x="38"/>
        <item x="42"/>
        <item x="41"/>
        <item x="40"/>
        <item x="43"/>
        <item x="2"/>
        <item t="default"/>
      </items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9">
    <i>
      <x v="5"/>
    </i>
    <i>
      <x v="3"/>
    </i>
    <i>
      <x v="4"/>
    </i>
    <i>
      <x v="1"/>
    </i>
    <i>
      <x v="6"/>
    </i>
    <i>
      <x v="2"/>
    </i>
    <i>
      <x v="7"/>
    </i>
    <i>
      <x/>
    </i>
    <i t="grand">
      <x/>
    </i>
  </rowItems>
  <colItems count="1">
    <i/>
  </colItems>
  <dataFields count="1">
    <dataField name="Sum of سعر البيع " fld="12" baseField="0" baseItem="0" numFmtId="164"/>
  </dataFields>
  <formats count="1">
    <format dxfId="0">
      <pivotArea outline="0" collapsedLevelsAreSubtotals="1" fieldPosition="0"/>
    </format>
  </format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A000000}" name="PivotTable21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6">
  <location ref="BC14:BD17" firstHeaderRow="1" firstDataRow="1" firstDataCol="1"/>
  <pivotFields count="25">
    <pivotField showAll="0"/>
    <pivotField axis="axisRow" dataField="1" showAll="0">
      <items count="3">
        <item x="0"/>
        <item x="1"/>
        <item t="default"/>
      </items>
    </pivotField>
    <pivotField showAll="0"/>
    <pivotField showAll="0">
      <items count="10">
        <item x="8"/>
        <item x="1"/>
        <item x="3"/>
        <item x="0"/>
        <item x="7"/>
        <item x="5"/>
        <item x="6"/>
        <item x="2"/>
        <item x="4"/>
        <item t="default"/>
      </items>
    </pivotField>
    <pivotField showAll="0"/>
    <pivotField showAll="0">
      <items count="7">
        <item x="1"/>
        <item x="3"/>
        <item x="0"/>
        <item x="5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6">
        <item x="0"/>
        <item x="1"/>
        <item x="4"/>
        <item x="3"/>
        <item x="5"/>
        <item x="6"/>
        <item x="2"/>
        <item x="7"/>
        <item x="10"/>
        <item x="9"/>
        <item x="8"/>
        <item x="11"/>
        <item x="12"/>
        <item x="13"/>
        <item x="15"/>
        <item x="14"/>
        <item x="16"/>
        <item x="17"/>
        <item x="18"/>
        <item x="19"/>
        <item x="20"/>
        <item x="21"/>
        <item x="22"/>
        <item x="23"/>
        <item x="25"/>
        <item x="24"/>
        <item x="26"/>
        <item x="27"/>
        <item x="28"/>
        <item x="29"/>
        <item x="30"/>
        <item x="32"/>
        <item x="31"/>
        <item x="33"/>
        <item x="34"/>
        <item x="35"/>
        <item x="37"/>
        <item x="38"/>
        <item x="36"/>
        <item x="39"/>
        <item x="40"/>
        <item x="41"/>
        <item x="45"/>
        <item x="42"/>
        <item x="43"/>
        <item x="44"/>
        <item x="46"/>
        <item x="47"/>
        <item x="48"/>
        <item x="50"/>
        <item x="49"/>
        <item x="51"/>
        <item x="52"/>
        <item x="53"/>
        <item x="54"/>
        <item t="default"/>
      </items>
    </pivotField>
    <pivotField showAll="0"/>
    <pivotField showAll="0">
      <items count="45">
        <item x="0"/>
        <item x="1"/>
        <item x="5"/>
        <item x="3"/>
        <item x="4"/>
        <item x="8"/>
        <item x="6"/>
        <item x="10"/>
        <item x="7"/>
        <item x="11"/>
        <item x="12"/>
        <item x="13"/>
        <item x="9"/>
        <item x="14"/>
        <item x="26"/>
        <item x="16"/>
        <item x="15"/>
        <item x="20"/>
        <item x="27"/>
        <item x="30"/>
        <item x="29"/>
        <item x="24"/>
        <item x="19"/>
        <item x="17"/>
        <item x="25"/>
        <item x="23"/>
        <item x="18"/>
        <item x="21"/>
        <item x="22"/>
        <item x="31"/>
        <item x="28"/>
        <item x="33"/>
        <item x="39"/>
        <item x="34"/>
        <item x="36"/>
        <item x="37"/>
        <item x="35"/>
        <item x="32"/>
        <item x="38"/>
        <item x="42"/>
        <item x="41"/>
        <item x="40"/>
        <item x="43"/>
        <item x="2"/>
        <item t="default"/>
      </items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نوع العميل" fld="1" subtotal="count" baseField="0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9000000}" name="PivotTable11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10:A11" firstHeaderRow="1" firstDataRow="1" firstDataCol="0"/>
  <pivotFields count="25">
    <pivotField showAll="0"/>
    <pivotField showAll="0"/>
    <pivotField showAll="0"/>
    <pivotField showAll="0">
      <items count="10">
        <item x="8"/>
        <item x="1"/>
        <item x="3"/>
        <item x="0"/>
        <item x="7"/>
        <item x="5"/>
        <item x="6"/>
        <item x="2"/>
        <item x="4"/>
        <item t="default"/>
      </items>
    </pivotField>
    <pivotField showAll="0"/>
    <pivotField showAll="0">
      <items count="7">
        <item x="1"/>
        <item x="3"/>
        <item x="0"/>
        <item x="5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56">
        <item x="0"/>
        <item x="1"/>
        <item x="4"/>
        <item x="3"/>
        <item x="5"/>
        <item x="6"/>
        <item x="2"/>
        <item x="7"/>
        <item x="10"/>
        <item x="9"/>
        <item x="8"/>
        <item x="11"/>
        <item x="12"/>
        <item x="13"/>
        <item x="15"/>
        <item x="14"/>
        <item x="16"/>
        <item x="17"/>
        <item x="18"/>
        <item x="19"/>
        <item x="20"/>
        <item x="21"/>
        <item x="22"/>
        <item x="23"/>
        <item x="25"/>
        <item x="24"/>
        <item x="26"/>
        <item x="27"/>
        <item x="28"/>
        <item x="29"/>
        <item x="30"/>
        <item x="32"/>
        <item x="31"/>
        <item x="33"/>
        <item x="34"/>
        <item x="35"/>
        <item x="37"/>
        <item x="38"/>
        <item x="36"/>
        <item x="39"/>
        <item x="40"/>
        <item x="41"/>
        <item x="45"/>
        <item x="42"/>
        <item x="43"/>
        <item x="44"/>
        <item x="46"/>
        <item x="47"/>
        <item x="48"/>
        <item x="50"/>
        <item x="49"/>
        <item x="51"/>
        <item x="52"/>
        <item x="53"/>
        <item x="54"/>
        <item t="default"/>
      </items>
    </pivotField>
    <pivotField showAll="0"/>
    <pivotField showAll="0">
      <items count="45">
        <item x="0"/>
        <item x="1"/>
        <item x="5"/>
        <item x="3"/>
        <item x="4"/>
        <item x="8"/>
        <item x="6"/>
        <item x="10"/>
        <item x="7"/>
        <item x="11"/>
        <item x="12"/>
        <item x="13"/>
        <item x="9"/>
        <item x="14"/>
        <item x="26"/>
        <item x="16"/>
        <item x="15"/>
        <item x="20"/>
        <item x="27"/>
        <item x="30"/>
        <item x="29"/>
        <item x="24"/>
        <item x="19"/>
        <item x="17"/>
        <item x="25"/>
        <item x="23"/>
        <item x="18"/>
        <item x="21"/>
        <item x="22"/>
        <item x="31"/>
        <item x="28"/>
        <item x="33"/>
        <item x="39"/>
        <item x="34"/>
        <item x="36"/>
        <item x="37"/>
        <item x="35"/>
        <item x="32"/>
        <item x="38"/>
        <item x="42"/>
        <item x="41"/>
        <item x="40"/>
        <item x="43"/>
        <item x="2"/>
        <item t="default"/>
      </items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dataFields count="1">
    <dataField name="Sum of سعر البيع " fld="12" baseField="0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8000000}" name="PivotTable16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6">
  <location ref="Y11:Z17" firstHeaderRow="1" firstDataRow="1" firstDataCol="1"/>
  <pivotFields count="25">
    <pivotField showAll="0"/>
    <pivotField showAll="0"/>
    <pivotField showAll="0"/>
    <pivotField showAll="0">
      <items count="10">
        <item x="8"/>
        <item x="1"/>
        <item x="3"/>
        <item x="0"/>
        <item x="7"/>
        <item x="5"/>
        <item x="6"/>
        <item x="2"/>
        <item x="4"/>
        <item t="default"/>
      </items>
    </pivotField>
    <pivotField axis="axisRow" showAll="0" measureFilter="1" sortType="descending">
      <items count="9">
        <item x="5"/>
        <item x="4"/>
        <item x="3"/>
        <item x="1"/>
        <item x="2"/>
        <item x="7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1"/>
        <item x="3"/>
        <item x="0"/>
        <item x="5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56">
        <item x="0"/>
        <item x="1"/>
        <item x="4"/>
        <item x="3"/>
        <item x="5"/>
        <item x="6"/>
        <item x="2"/>
        <item x="7"/>
        <item x="10"/>
        <item x="9"/>
        <item x="8"/>
        <item x="11"/>
        <item x="12"/>
        <item x="13"/>
        <item x="15"/>
        <item x="14"/>
        <item x="16"/>
        <item x="17"/>
        <item x="18"/>
        <item x="19"/>
        <item x="20"/>
        <item x="21"/>
        <item x="22"/>
        <item x="23"/>
        <item x="25"/>
        <item x="24"/>
        <item x="26"/>
        <item x="27"/>
        <item x="28"/>
        <item x="29"/>
        <item x="30"/>
        <item x="32"/>
        <item x="31"/>
        <item x="33"/>
        <item x="34"/>
        <item x="35"/>
        <item x="37"/>
        <item x="38"/>
        <item x="36"/>
        <item x="39"/>
        <item x="40"/>
        <item x="41"/>
        <item x="45"/>
        <item x="42"/>
        <item x="43"/>
        <item x="44"/>
        <item x="46"/>
        <item x="47"/>
        <item x="48"/>
        <item x="50"/>
        <item x="49"/>
        <item x="51"/>
        <item x="52"/>
        <item x="53"/>
        <item x="54"/>
        <item t="default"/>
      </items>
    </pivotField>
    <pivotField showAll="0"/>
    <pivotField showAll="0">
      <items count="45">
        <item x="0"/>
        <item x="1"/>
        <item x="5"/>
        <item x="3"/>
        <item x="4"/>
        <item x="8"/>
        <item x="6"/>
        <item x="10"/>
        <item x="7"/>
        <item x="11"/>
        <item x="12"/>
        <item x="13"/>
        <item x="9"/>
        <item x="14"/>
        <item x="26"/>
        <item x="16"/>
        <item x="15"/>
        <item x="20"/>
        <item x="27"/>
        <item x="30"/>
        <item x="29"/>
        <item x="24"/>
        <item x="19"/>
        <item x="17"/>
        <item x="25"/>
        <item x="23"/>
        <item x="18"/>
        <item x="21"/>
        <item x="22"/>
        <item x="31"/>
        <item x="28"/>
        <item x="33"/>
        <item x="39"/>
        <item x="34"/>
        <item x="36"/>
        <item x="37"/>
        <item x="35"/>
        <item x="32"/>
        <item x="38"/>
        <item x="42"/>
        <item x="41"/>
        <item x="40"/>
        <item x="43"/>
        <item x="2"/>
        <item t="default"/>
      </items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 v="7"/>
    </i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سعر البيع " fld="12" baseField="0" baseItem="0" numFmtId="164"/>
  </dataFields>
  <formats count="1">
    <format dxfId="2">
      <pivotArea outline="0" collapsedLevelsAreSubtotals="1" fieldPosition="0"/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7000000}" name="PivotTable13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G14:G15" firstHeaderRow="1" firstDataRow="1" firstDataCol="0"/>
  <pivotFields count="25">
    <pivotField dataField="1" showAll="0"/>
    <pivotField showAll="0"/>
    <pivotField showAll="0"/>
    <pivotField showAll="0">
      <items count="10">
        <item x="8"/>
        <item x="1"/>
        <item x="3"/>
        <item x="0"/>
        <item x="7"/>
        <item x="5"/>
        <item x="6"/>
        <item x="2"/>
        <item x="4"/>
        <item t="default"/>
      </items>
    </pivotField>
    <pivotField showAll="0"/>
    <pivotField showAll="0">
      <items count="7">
        <item x="1"/>
        <item x="3"/>
        <item x="0"/>
        <item x="5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6">
        <item x="0"/>
        <item x="1"/>
        <item x="4"/>
        <item x="3"/>
        <item x="5"/>
        <item x="6"/>
        <item x="2"/>
        <item x="7"/>
        <item x="10"/>
        <item x="9"/>
        <item x="8"/>
        <item x="11"/>
        <item x="12"/>
        <item x="13"/>
        <item x="15"/>
        <item x="14"/>
        <item x="16"/>
        <item x="17"/>
        <item x="18"/>
        <item x="19"/>
        <item x="20"/>
        <item x="21"/>
        <item x="22"/>
        <item x="23"/>
        <item x="25"/>
        <item x="24"/>
        <item x="26"/>
        <item x="27"/>
        <item x="28"/>
        <item x="29"/>
        <item x="30"/>
        <item x="32"/>
        <item x="31"/>
        <item x="33"/>
        <item x="34"/>
        <item x="35"/>
        <item x="37"/>
        <item x="38"/>
        <item x="36"/>
        <item x="39"/>
        <item x="40"/>
        <item x="41"/>
        <item x="45"/>
        <item x="42"/>
        <item x="43"/>
        <item x="44"/>
        <item x="46"/>
        <item x="47"/>
        <item x="48"/>
        <item x="50"/>
        <item x="49"/>
        <item x="51"/>
        <item x="52"/>
        <item x="53"/>
        <item x="54"/>
        <item t="default"/>
      </items>
    </pivotField>
    <pivotField showAll="0"/>
    <pivotField showAll="0">
      <items count="45">
        <item x="0"/>
        <item x="1"/>
        <item x="5"/>
        <item x="3"/>
        <item x="4"/>
        <item x="8"/>
        <item x="6"/>
        <item x="10"/>
        <item x="7"/>
        <item x="11"/>
        <item x="12"/>
        <item x="13"/>
        <item x="9"/>
        <item x="14"/>
        <item x="26"/>
        <item x="16"/>
        <item x="15"/>
        <item x="20"/>
        <item x="27"/>
        <item x="30"/>
        <item x="29"/>
        <item x="24"/>
        <item x="19"/>
        <item x="17"/>
        <item x="25"/>
        <item x="23"/>
        <item x="18"/>
        <item x="21"/>
        <item x="22"/>
        <item x="31"/>
        <item x="28"/>
        <item x="33"/>
        <item x="39"/>
        <item x="34"/>
        <item x="36"/>
        <item x="37"/>
        <item x="35"/>
        <item x="32"/>
        <item x="38"/>
        <item x="42"/>
        <item x="41"/>
        <item x="40"/>
        <item x="43"/>
        <item x="2"/>
        <item t="default"/>
      </items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dataFields count="1">
    <dataField name="Count of أسم العميل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6000000}" name="PivotTable14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M6:M7" firstHeaderRow="1" firstDataRow="1" firstDataCol="0"/>
  <pivotFields count="25">
    <pivotField showAll="0"/>
    <pivotField showAll="0"/>
    <pivotField showAll="0"/>
    <pivotField showAll="0">
      <items count="10">
        <item x="8"/>
        <item x="1"/>
        <item x="3"/>
        <item x="0"/>
        <item x="7"/>
        <item x="5"/>
        <item x="6"/>
        <item x="2"/>
        <item x="4"/>
        <item t="default"/>
      </items>
    </pivotField>
    <pivotField showAll="0"/>
    <pivotField showAll="0">
      <items count="7">
        <item x="1"/>
        <item x="3"/>
        <item x="0"/>
        <item x="5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56">
        <item x="0"/>
        <item x="1"/>
        <item x="4"/>
        <item x="3"/>
        <item x="5"/>
        <item x="6"/>
        <item x="2"/>
        <item x="7"/>
        <item x="10"/>
        <item x="9"/>
        <item x="8"/>
        <item x="11"/>
        <item x="12"/>
        <item x="13"/>
        <item x="15"/>
        <item x="14"/>
        <item x="16"/>
        <item x="17"/>
        <item x="18"/>
        <item x="19"/>
        <item x="20"/>
        <item x="21"/>
        <item x="22"/>
        <item x="23"/>
        <item x="25"/>
        <item x="24"/>
        <item x="26"/>
        <item x="27"/>
        <item x="28"/>
        <item x="29"/>
        <item x="30"/>
        <item x="32"/>
        <item x="31"/>
        <item x="33"/>
        <item x="34"/>
        <item x="35"/>
        <item x="37"/>
        <item x="38"/>
        <item x="36"/>
        <item x="39"/>
        <item x="40"/>
        <item x="41"/>
        <item x="45"/>
        <item x="42"/>
        <item x="43"/>
        <item x="44"/>
        <item x="46"/>
        <item x="47"/>
        <item x="48"/>
        <item x="50"/>
        <item x="49"/>
        <item x="51"/>
        <item x="52"/>
        <item x="53"/>
        <item x="54"/>
        <item t="default"/>
      </items>
    </pivotField>
    <pivotField showAll="0"/>
    <pivotField showAll="0">
      <items count="45">
        <item x="0"/>
        <item x="1"/>
        <item x="5"/>
        <item x="3"/>
        <item x="4"/>
        <item x="8"/>
        <item x="6"/>
        <item x="10"/>
        <item x="7"/>
        <item x="11"/>
        <item x="12"/>
        <item x="13"/>
        <item x="9"/>
        <item x="14"/>
        <item x="26"/>
        <item x="16"/>
        <item x="15"/>
        <item x="20"/>
        <item x="27"/>
        <item x="30"/>
        <item x="29"/>
        <item x="24"/>
        <item x="19"/>
        <item x="17"/>
        <item x="25"/>
        <item x="23"/>
        <item x="18"/>
        <item x="21"/>
        <item x="22"/>
        <item x="31"/>
        <item x="28"/>
        <item x="33"/>
        <item x="39"/>
        <item x="34"/>
        <item x="36"/>
        <item x="37"/>
        <item x="35"/>
        <item x="32"/>
        <item x="38"/>
        <item x="42"/>
        <item x="41"/>
        <item x="40"/>
        <item x="43"/>
        <item x="2"/>
        <item t="default"/>
      </items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dataFields count="1">
    <dataField name="Average of سعر البيع " fld="12" subtotal="average" baseField="0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5000000}" name="PivotTable15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S11:S12" firstHeaderRow="1" firstDataRow="1" firstDataCol="0"/>
  <pivotFields count="25">
    <pivotField showAll="0"/>
    <pivotField showAll="0"/>
    <pivotField showAll="0"/>
    <pivotField showAll="0">
      <items count="10">
        <item x="8"/>
        <item x="1"/>
        <item x="3"/>
        <item x="0"/>
        <item x="7"/>
        <item x="5"/>
        <item x="6"/>
        <item x="2"/>
        <item x="4"/>
        <item t="default"/>
      </items>
    </pivotField>
    <pivotField showAll="0"/>
    <pivotField showAll="0">
      <items count="7">
        <item x="1"/>
        <item x="3"/>
        <item x="0"/>
        <item x="5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6">
        <item x="0"/>
        <item x="1"/>
        <item x="4"/>
        <item x="3"/>
        <item x="5"/>
        <item x="6"/>
        <item x="2"/>
        <item x="7"/>
        <item x="10"/>
        <item x="9"/>
        <item x="8"/>
        <item x="11"/>
        <item x="12"/>
        <item x="13"/>
        <item x="15"/>
        <item x="14"/>
        <item x="16"/>
        <item x="17"/>
        <item x="18"/>
        <item x="19"/>
        <item x="20"/>
        <item x="21"/>
        <item x="22"/>
        <item x="23"/>
        <item x="25"/>
        <item x="24"/>
        <item x="26"/>
        <item x="27"/>
        <item x="28"/>
        <item x="29"/>
        <item x="30"/>
        <item x="32"/>
        <item x="31"/>
        <item x="33"/>
        <item x="34"/>
        <item x="35"/>
        <item x="37"/>
        <item x="38"/>
        <item x="36"/>
        <item x="39"/>
        <item x="40"/>
        <item x="41"/>
        <item x="45"/>
        <item x="42"/>
        <item x="43"/>
        <item x="44"/>
        <item x="46"/>
        <item x="47"/>
        <item x="48"/>
        <item x="50"/>
        <item x="49"/>
        <item x="51"/>
        <item x="52"/>
        <item x="53"/>
        <item x="54"/>
        <item t="default"/>
      </items>
    </pivotField>
    <pivotField showAll="0"/>
    <pivotField showAll="0">
      <items count="45">
        <item x="0"/>
        <item x="1"/>
        <item x="5"/>
        <item x="3"/>
        <item x="4"/>
        <item x="8"/>
        <item x="6"/>
        <item x="10"/>
        <item x="7"/>
        <item x="11"/>
        <item x="12"/>
        <item x="13"/>
        <item x="9"/>
        <item x="14"/>
        <item x="26"/>
        <item x="16"/>
        <item x="15"/>
        <item x="20"/>
        <item x="27"/>
        <item x="30"/>
        <item x="29"/>
        <item x="24"/>
        <item x="19"/>
        <item x="17"/>
        <item x="25"/>
        <item x="23"/>
        <item x="18"/>
        <item x="21"/>
        <item x="22"/>
        <item x="31"/>
        <item x="28"/>
        <item x="33"/>
        <item x="39"/>
        <item x="34"/>
        <item x="36"/>
        <item x="37"/>
        <item x="35"/>
        <item x="32"/>
        <item x="38"/>
        <item x="42"/>
        <item x="41"/>
        <item x="40"/>
        <item x="43"/>
        <item x="2"/>
        <item t="default"/>
      </items>
    </pivotField>
    <pivotField showAll="0"/>
    <pivotField dataField="1" showAll="0"/>
    <pivotField showAll="0"/>
    <pivotField showAll="0">
      <items count="4">
        <item x="0"/>
        <item x="1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dataFields count="1">
    <dataField name="Average of مدة التسليم(الفعلي)" fld="18" subtotal="average" baseField="0" baseItem="0" numFmtId="1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PivotTable24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6">
  <location ref="BO12:BP17" firstHeaderRow="1" firstDataRow="1" firstDataCol="1"/>
  <pivotFields count="25">
    <pivotField showAll="0"/>
    <pivotField showAll="0"/>
    <pivotField showAll="0"/>
    <pivotField showAll="0">
      <items count="10">
        <item x="8"/>
        <item x="1"/>
        <item x="3"/>
        <item x="0"/>
        <item x="7"/>
        <item x="5"/>
        <item x="6"/>
        <item x="2"/>
        <item x="4"/>
        <item t="default"/>
      </items>
    </pivotField>
    <pivotField showAll="0"/>
    <pivotField showAll="0">
      <items count="7">
        <item x="1"/>
        <item x="3"/>
        <item x="0"/>
        <item x="5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3"/>
        <item x="1"/>
        <item x="0"/>
        <item t="default"/>
      </items>
    </pivotField>
    <pivotField numFmtId="14" showAll="0">
      <items count="56">
        <item x="0"/>
        <item x="1"/>
        <item x="4"/>
        <item x="3"/>
        <item x="5"/>
        <item x="6"/>
        <item x="2"/>
        <item x="7"/>
        <item x="10"/>
        <item x="9"/>
        <item x="8"/>
        <item x="11"/>
        <item x="12"/>
        <item x="13"/>
        <item x="15"/>
        <item x="14"/>
        <item x="16"/>
        <item x="17"/>
        <item x="18"/>
        <item x="19"/>
        <item x="20"/>
        <item x="21"/>
        <item x="22"/>
        <item x="23"/>
        <item x="25"/>
        <item x="24"/>
        <item x="26"/>
        <item x="27"/>
        <item x="28"/>
        <item x="29"/>
        <item x="30"/>
        <item x="32"/>
        <item x="31"/>
        <item x="33"/>
        <item x="34"/>
        <item x="35"/>
        <item x="37"/>
        <item x="38"/>
        <item x="36"/>
        <item x="39"/>
        <item x="40"/>
        <item x="41"/>
        <item x="45"/>
        <item x="42"/>
        <item x="43"/>
        <item x="44"/>
        <item x="46"/>
        <item x="47"/>
        <item x="48"/>
        <item x="50"/>
        <item x="49"/>
        <item x="51"/>
        <item x="52"/>
        <item x="53"/>
        <item x="54"/>
        <item t="default"/>
      </items>
    </pivotField>
    <pivotField showAll="0"/>
    <pivotField showAll="0">
      <items count="45">
        <item x="0"/>
        <item x="1"/>
        <item x="5"/>
        <item x="3"/>
        <item x="4"/>
        <item x="8"/>
        <item x="6"/>
        <item x="10"/>
        <item x="7"/>
        <item x="11"/>
        <item x="12"/>
        <item x="13"/>
        <item x="9"/>
        <item x="14"/>
        <item x="26"/>
        <item x="16"/>
        <item x="15"/>
        <item x="20"/>
        <item x="27"/>
        <item x="30"/>
        <item x="29"/>
        <item x="24"/>
        <item x="19"/>
        <item x="17"/>
        <item x="25"/>
        <item x="23"/>
        <item x="18"/>
        <item x="21"/>
        <item x="22"/>
        <item x="31"/>
        <item x="28"/>
        <item x="33"/>
        <item x="39"/>
        <item x="34"/>
        <item x="36"/>
        <item x="37"/>
        <item x="35"/>
        <item x="32"/>
        <item x="38"/>
        <item x="42"/>
        <item x="41"/>
        <item x="40"/>
        <item x="43"/>
        <item x="2"/>
        <item t="default"/>
      </items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طريقة الدفع" fld="13" subtotal="count" showDataAs="percentOfTotal" baseField="13" baseItem="2" numFmtId="10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PivotTable17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3">
  <location ref="AE14:AF21" firstHeaderRow="1" firstDataRow="1" firstDataCol="1"/>
  <pivotFields count="25">
    <pivotField showAll="0"/>
    <pivotField showAll="0"/>
    <pivotField showAll="0"/>
    <pivotField showAll="0">
      <items count="10">
        <item x="8"/>
        <item x="1"/>
        <item x="3"/>
        <item x="0"/>
        <item x="7"/>
        <item x="5"/>
        <item x="6"/>
        <item x="2"/>
        <item x="4"/>
        <item t="default"/>
      </items>
    </pivotField>
    <pivotField showAll="0"/>
    <pivotField axis="axisRow" showAll="0" sortType="descending">
      <items count="7">
        <item x="1"/>
        <item x="3"/>
        <item x="0"/>
        <item x="5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56">
        <item x="0"/>
        <item x="1"/>
        <item x="4"/>
        <item x="3"/>
        <item x="5"/>
        <item x="6"/>
        <item x="2"/>
        <item x="7"/>
        <item x="10"/>
        <item x="9"/>
        <item x="8"/>
        <item x="11"/>
        <item x="12"/>
        <item x="13"/>
        <item x="15"/>
        <item x="14"/>
        <item x="16"/>
        <item x="17"/>
        <item x="18"/>
        <item x="19"/>
        <item x="20"/>
        <item x="21"/>
        <item x="22"/>
        <item x="23"/>
        <item x="25"/>
        <item x="24"/>
        <item x="26"/>
        <item x="27"/>
        <item x="28"/>
        <item x="29"/>
        <item x="30"/>
        <item x="32"/>
        <item x="31"/>
        <item x="33"/>
        <item x="34"/>
        <item x="35"/>
        <item x="37"/>
        <item x="38"/>
        <item x="36"/>
        <item x="39"/>
        <item x="40"/>
        <item x="41"/>
        <item x="45"/>
        <item x="42"/>
        <item x="43"/>
        <item x="44"/>
        <item x="46"/>
        <item x="47"/>
        <item x="48"/>
        <item x="50"/>
        <item x="49"/>
        <item x="51"/>
        <item x="52"/>
        <item x="53"/>
        <item x="54"/>
        <item t="default"/>
      </items>
    </pivotField>
    <pivotField showAll="0"/>
    <pivotField showAll="0">
      <items count="45">
        <item x="0"/>
        <item x="1"/>
        <item x="5"/>
        <item x="3"/>
        <item x="4"/>
        <item x="8"/>
        <item x="6"/>
        <item x="10"/>
        <item x="7"/>
        <item x="11"/>
        <item x="12"/>
        <item x="13"/>
        <item x="9"/>
        <item x="14"/>
        <item x="26"/>
        <item x="16"/>
        <item x="15"/>
        <item x="20"/>
        <item x="27"/>
        <item x="30"/>
        <item x="29"/>
        <item x="24"/>
        <item x="19"/>
        <item x="17"/>
        <item x="25"/>
        <item x="23"/>
        <item x="18"/>
        <item x="21"/>
        <item x="22"/>
        <item x="31"/>
        <item x="28"/>
        <item x="33"/>
        <item x="39"/>
        <item x="34"/>
        <item x="36"/>
        <item x="37"/>
        <item x="35"/>
        <item x="32"/>
        <item x="38"/>
        <item x="42"/>
        <item x="41"/>
        <item x="40"/>
        <item x="43"/>
        <item x="2"/>
        <item t="default"/>
      </items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7">
    <i>
      <x v="2"/>
    </i>
    <i>
      <x v="5"/>
    </i>
    <i>
      <x/>
    </i>
    <i>
      <x v="1"/>
    </i>
    <i>
      <x v="3"/>
    </i>
    <i>
      <x v="4"/>
    </i>
    <i t="grand">
      <x/>
    </i>
  </rowItems>
  <colItems count="1">
    <i/>
  </colItems>
  <dataFields count="1">
    <dataField name="Sum of سعر البيع " fld="12" baseField="0" baseItem="0" numFmtId="164"/>
  </dataFields>
  <formats count="1">
    <format dxfId="5">
      <pivotArea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23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8">
  <location ref="BI15:BJ22" firstHeaderRow="1" firstDataRow="1" firstDataCol="1"/>
  <pivotFields count="25">
    <pivotField showAll="0"/>
    <pivotField showAll="0"/>
    <pivotField showAll="0"/>
    <pivotField showAll="0">
      <items count="10">
        <item x="8"/>
        <item x="1"/>
        <item x="3"/>
        <item x="0"/>
        <item x="7"/>
        <item x="5"/>
        <item x="6"/>
        <item x="2"/>
        <item x="4"/>
        <item t="default"/>
      </items>
    </pivotField>
    <pivotField showAll="0"/>
    <pivotField showAll="0">
      <items count="7">
        <item x="1"/>
        <item x="3"/>
        <item x="0"/>
        <item x="5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5">
        <item x="2"/>
        <item x="3"/>
        <item x="1"/>
        <item x="0"/>
        <item t="default"/>
      </items>
    </pivotField>
    <pivotField showAll="0">
      <items count="56">
        <item x="0"/>
        <item x="1"/>
        <item x="4"/>
        <item x="3"/>
        <item x="5"/>
        <item x="6"/>
        <item x="2"/>
        <item x="7"/>
        <item x="10"/>
        <item x="9"/>
        <item x="8"/>
        <item x="11"/>
        <item x="12"/>
        <item x="13"/>
        <item x="15"/>
        <item x="14"/>
        <item x="16"/>
        <item x="17"/>
        <item x="18"/>
        <item x="19"/>
        <item x="20"/>
        <item x="21"/>
        <item x="22"/>
        <item x="23"/>
        <item x="25"/>
        <item x="24"/>
        <item x="26"/>
        <item x="27"/>
        <item x="28"/>
        <item x="29"/>
        <item x="30"/>
        <item x="32"/>
        <item x="31"/>
        <item x="33"/>
        <item x="34"/>
        <item x="35"/>
        <item x="37"/>
        <item x="38"/>
        <item x="36"/>
        <item x="39"/>
        <item x="40"/>
        <item x="41"/>
        <item x="45"/>
        <item x="42"/>
        <item x="43"/>
        <item x="44"/>
        <item x="46"/>
        <item x="47"/>
        <item x="48"/>
        <item x="50"/>
        <item x="49"/>
        <item x="51"/>
        <item x="52"/>
        <item x="53"/>
        <item x="54"/>
        <item t="default"/>
      </items>
    </pivotField>
    <pivotField showAll="0"/>
    <pivotField showAll="0">
      <items count="45">
        <item x="0"/>
        <item x="1"/>
        <item x="5"/>
        <item x="3"/>
        <item x="4"/>
        <item x="8"/>
        <item x="6"/>
        <item x="10"/>
        <item x="7"/>
        <item x="11"/>
        <item x="12"/>
        <item x="13"/>
        <item x="9"/>
        <item x="14"/>
        <item x="26"/>
        <item x="16"/>
        <item x="15"/>
        <item x="20"/>
        <item x="27"/>
        <item x="30"/>
        <item x="29"/>
        <item x="24"/>
        <item x="19"/>
        <item x="17"/>
        <item x="25"/>
        <item x="23"/>
        <item x="18"/>
        <item x="21"/>
        <item x="22"/>
        <item x="31"/>
        <item x="28"/>
        <item x="33"/>
        <item x="39"/>
        <item x="34"/>
        <item x="36"/>
        <item x="37"/>
        <item x="35"/>
        <item x="32"/>
        <item x="38"/>
        <item x="42"/>
        <item x="41"/>
        <item x="40"/>
        <item x="43"/>
        <item x="2"/>
        <item t="default"/>
      </items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4"/>
  </rowFields>
  <rowItems count="7"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سعر البيع " fld="12" baseField="0" baseItem="0" numFmtId="164"/>
  </dataFields>
  <formats count="2">
    <format dxfId="7">
      <pivotArea outline="0" collapsedLevelsAreSubtotals="1" fieldPosition="0"/>
    </format>
    <format dxfId="6">
      <pivotArea outline="0" collapsedLevelsAreSubtotals="1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19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5">
  <location ref="AQ14:AR18" firstHeaderRow="1" firstDataRow="1" firstDataCol="1"/>
  <pivotFields count="25">
    <pivotField showAll="0"/>
    <pivotField showAll="0"/>
    <pivotField showAll="0"/>
    <pivotField showAll="0">
      <items count="10">
        <item x="8"/>
        <item x="1"/>
        <item x="3"/>
        <item x="0"/>
        <item x="7"/>
        <item x="5"/>
        <item x="6"/>
        <item x="2"/>
        <item x="4"/>
        <item t="default"/>
      </items>
    </pivotField>
    <pivotField showAll="0"/>
    <pivotField showAll="0">
      <items count="7">
        <item x="1"/>
        <item x="3"/>
        <item x="0"/>
        <item x="5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6">
        <item x="0"/>
        <item x="1"/>
        <item x="4"/>
        <item x="3"/>
        <item x="5"/>
        <item x="6"/>
        <item x="2"/>
        <item x="7"/>
        <item x="10"/>
        <item x="9"/>
        <item x="8"/>
        <item x="11"/>
        <item x="12"/>
        <item x="13"/>
        <item x="15"/>
        <item x="14"/>
        <item x="16"/>
        <item x="17"/>
        <item x="18"/>
        <item x="19"/>
        <item x="20"/>
        <item x="21"/>
        <item x="22"/>
        <item x="23"/>
        <item x="25"/>
        <item x="24"/>
        <item x="26"/>
        <item x="27"/>
        <item x="28"/>
        <item x="29"/>
        <item x="30"/>
        <item x="32"/>
        <item x="31"/>
        <item x="33"/>
        <item x="34"/>
        <item x="35"/>
        <item x="37"/>
        <item x="38"/>
        <item x="36"/>
        <item x="39"/>
        <item x="40"/>
        <item x="41"/>
        <item x="45"/>
        <item x="42"/>
        <item x="43"/>
        <item x="44"/>
        <item x="46"/>
        <item x="47"/>
        <item x="48"/>
        <item x="50"/>
        <item x="49"/>
        <item x="51"/>
        <item x="52"/>
        <item x="53"/>
        <item x="54"/>
        <item t="default"/>
      </items>
    </pivotField>
    <pivotField showAll="0"/>
    <pivotField showAll="0">
      <items count="45">
        <item x="0"/>
        <item x="1"/>
        <item x="5"/>
        <item x="3"/>
        <item x="4"/>
        <item x="8"/>
        <item x="6"/>
        <item x="10"/>
        <item x="7"/>
        <item x="11"/>
        <item x="12"/>
        <item x="13"/>
        <item x="9"/>
        <item x="14"/>
        <item x="26"/>
        <item x="16"/>
        <item x="15"/>
        <item x="20"/>
        <item x="27"/>
        <item x="30"/>
        <item x="29"/>
        <item x="24"/>
        <item x="19"/>
        <item x="17"/>
        <item x="25"/>
        <item x="23"/>
        <item x="18"/>
        <item x="21"/>
        <item x="22"/>
        <item x="31"/>
        <item x="28"/>
        <item x="33"/>
        <item x="39"/>
        <item x="34"/>
        <item x="36"/>
        <item x="37"/>
        <item x="35"/>
        <item x="32"/>
        <item x="38"/>
        <item x="42"/>
        <item x="41"/>
        <item x="40"/>
        <item x="43"/>
        <item x="2"/>
        <item t="default"/>
      </items>
    </pivotField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الحالة" fld="20" subtotal="count" showDataAs="percentOfTotal" baseField="20" baseItem="0" numFmtId="1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8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4">
  <location ref="AK12:AL26" firstHeaderRow="1" firstDataRow="1" firstDataCol="1"/>
  <pivotFields count="25">
    <pivotField showAll="0"/>
    <pivotField showAll="0"/>
    <pivotField showAll="0"/>
    <pivotField showAll="0">
      <items count="10">
        <item x="8"/>
        <item x="1"/>
        <item x="3"/>
        <item x="0"/>
        <item x="7"/>
        <item x="5"/>
        <item x="6"/>
        <item x="2"/>
        <item x="4"/>
        <item t="default"/>
      </items>
    </pivotField>
    <pivotField showAll="0"/>
    <pivotField showAll="0">
      <items count="7">
        <item x="1"/>
        <item x="3"/>
        <item x="0"/>
        <item x="5"/>
        <item x="4"/>
        <item x="2"/>
        <item t="default"/>
      </items>
    </pivotField>
    <pivotField showAll="0"/>
    <pivotField showAll="0"/>
    <pivotField showAll="0"/>
    <pivotField showAll="0"/>
    <pivotField axis="axisRow" showAll="0">
      <items count="14">
        <item x="0"/>
        <item x="2"/>
        <item x="1"/>
        <item x="8"/>
        <item x="7"/>
        <item x="12"/>
        <item x="6"/>
        <item x="10"/>
        <item x="5"/>
        <item x="4"/>
        <item x="3"/>
        <item x="9"/>
        <item x="11"/>
        <item t="default"/>
      </items>
    </pivotField>
    <pivotField showAll="0"/>
    <pivotField dataField="1" showAll="0"/>
    <pivotField showAll="0"/>
    <pivotField showAll="0">
      <items count="56">
        <item x="0"/>
        <item x="1"/>
        <item x="4"/>
        <item x="3"/>
        <item x="5"/>
        <item x="6"/>
        <item x="2"/>
        <item x="7"/>
        <item x="10"/>
        <item x="9"/>
        <item x="8"/>
        <item x="11"/>
        <item x="12"/>
        <item x="13"/>
        <item x="15"/>
        <item x="14"/>
        <item x="16"/>
        <item x="17"/>
        <item x="18"/>
        <item x="19"/>
        <item x="20"/>
        <item x="21"/>
        <item x="22"/>
        <item x="23"/>
        <item x="25"/>
        <item x="24"/>
        <item x="26"/>
        <item x="27"/>
        <item x="28"/>
        <item x="29"/>
        <item x="30"/>
        <item x="32"/>
        <item x="31"/>
        <item x="33"/>
        <item x="34"/>
        <item x="35"/>
        <item x="37"/>
        <item x="38"/>
        <item x="36"/>
        <item x="39"/>
        <item x="40"/>
        <item x="41"/>
        <item x="45"/>
        <item x="42"/>
        <item x="43"/>
        <item x="44"/>
        <item x="46"/>
        <item x="47"/>
        <item x="48"/>
        <item x="50"/>
        <item x="49"/>
        <item x="51"/>
        <item x="52"/>
        <item x="53"/>
        <item x="54"/>
        <item t="default"/>
      </items>
    </pivotField>
    <pivotField showAll="0"/>
    <pivotField showAll="0">
      <items count="45">
        <item x="0"/>
        <item x="1"/>
        <item x="5"/>
        <item x="3"/>
        <item x="4"/>
        <item x="8"/>
        <item x="6"/>
        <item x="10"/>
        <item x="7"/>
        <item x="11"/>
        <item x="12"/>
        <item x="13"/>
        <item x="9"/>
        <item x="14"/>
        <item x="26"/>
        <item x="16"/>
        <item x="15"/>
        <item x="20"/>
        <item x="27"/>
        <item x="30"/>
        <item x="29"/>
        <item x="24"/>
        <item x="19"/>
        <item x="17"/>
        <item x="25"/>
        <item x="23"/>
        <item x="18"/>
        <item x="21"/>
        <item x="22"/>
        <item x="31"/>
        <item x="28"/>
        <item x="33"/>
        <item x="39"/>
        <item x="34"/>
        <item x="36"/>
        <item x="37"/>
        <item x="35"/>
        <item x="32"/>
        <item x="38"/>
        <item x="42"/>
        <item x="41"/>
        <item x="40"/>
        <item x="43"/>
        <item x="2"/>
        <item t="default"/>
      </items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سعر البيع " fld="12" baseField="0" baseItem="0" numFmtId="164"/>
  </dataFields>
  <formats count="1">
    <format dxfId="8">
      <pivotArea outline="0" collapsedLevelsAreSubtotals="1" fieldPosition="0"/>
    </format>
  </formats>
  <chartFormats count="1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aptionNotEqual" evalOrder="-1" id="3" stringValue1="ydv luv,t">
      <autoFilter ref="A1">
        <filterColumn colId="0">
          <customFilters>
            <customFilter operator="notEqual" val="ydv luv,t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" xr16:uid="{00000000-0016-0000-0400-000000000000}" autoFormatId="16" applyNumberFormats="0" applyBorderFormats="0" applyFontFormats="1" applyPatternFormats="1" applyAlignmentFormats="0" applyWidthHeightFormats="0">
  <queryTableRefresh nextId="22">
    <queryTableFields count="21">
      <queryTableField id="1" name="أسم العميل" tableColumnId="1"/>
      <queryTableField id="2" name="نوع العميل" tableColumnId="2"/>
      <queryTableField id="3" name="العنوان" tableColumnId="3"/>
      <queryTableField id="4" name="المحافظة" tableColumnId="4"/>
      <queryTableField id="5" name="منصة البيع " tableColumnId="5"/>
      <queryTableField id="6" name="الصنف" tableColumnId="6"/>
      <queryTableField id="7" name="نوع الصنف" tableColumnId="7"/>
      <queryTableField id="8" name="الاسم" tableColumnId="8"/>
      <queryTableField id="9" name="الكمية" tableColumnId="9"/>
      <queryTableField id="10" name="المقاس" tableColumnId="10"/>
      <queryTableField id="11" name="اللون المعدن" tableColumnId="11"/>
      <queryTableField id="12" name="لون القماش" tableColumnId="12"/>
      <queryTableField id="13" name="سعر البيع " tableColumnId="13"/>
      <queryTableField id="14" name="طريقة الدفع" tableColumnId="14"/>
      <queryTableField id="15" name="ميعاد الطلب" tableColumnId="15"/>
      <queryTableField id="16" name="ميعاد التسليم" tableColumnId="16"/>
      <queryTableField id="17" name="تاريخ التسليم" tableColumnId="17"/>
      <queryTableField id="18" name="مدة التسليم(الهدف)" tableColumnId="18"/>
      <queryTableField id="19" name="مدة التسليم(الفعلي)" tableColumnId="19"/>
      <queryTableField id="20" name="المسئول عن التسليم" tableColumnId="20"/>
      <queryTableField id="21" name="الحالة" tableColumnId="2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الحالة" xr10:uid="{00000000-0013-0000-FFFF-FFFF01000000}" sourceName="الحالة">
  <pivotTables>
    <pivotTable tabId="15" name="PivotTable17"/>
    <pivotTable tabId="15" name="PivotTable11"/>
    <pivotTable tabId="15" name="PivotTable13"/>
    <pivotTable tabId="15" name="PivotTable14"/>
    <pivotTable tabId="15" name="PivotTable15"/>
    <pivotTable tabId="15" name="PivotTable16"/>
    <pivotTable tabId="15" name="PivotTable18"/>
    <pivotTable tabId="15" name="PivotTable19"/>
    <pivotTable tabId="15" name="PivotTable20"/>
    <pivotTable tabId="15" name="PivotTable21"/>
    <pivotTable tabId="15" name="PivotTable23"/>
    <pivotTable tabId="15" name="PivotTable24"/>
  </pivotTables>
  <data>
    <tabular pivotCacheId="1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الصنف" xr10:uid="{00000000-0013-0000-FFFF-FFFF02000000}" sourceName="الصنف">
  <pivotTables>
    <pivotTable tabId="15" name="PivotTable19"/>
    <pivotTable tabId="15" name="PivotTable11"/>
    <pivotTable tabId="15" name="PivotTable13"/>
    <pivotTable tabId="15" name="PivotTable14"/>
    <pivotTable tabId="15" name="PivotTable15"/>
    <pivotTable tabId="15" name="PivotTable16"/>
    <pivotTable tabId="15" name="PivotTable17"/>
    <pivotTable tabId="15" name="PivotTable18"/>
    <pivotTable tabId="15" name="PivotTable20"/>
    <pivotTable tabId="15" name="PivotTable21"/>
    <pivotTable tabId="15" name="PivotTable23"/>
    <pivotTable tabId="15" name="PivotTable24"/>
  </pivotTables>
  <data>
    <tabular pivotCacheId="1">
      <items count="6">
        <i x="1" s="1"/>
        <i x="3" s="1"/>
        <i x="0" s="1"/>
        <i x="5" s="1"/>
        <i x="4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الحالة" xr10:uid="{00000000-0014-0000-FFFF-FFFF02000000}" cache="Slicer_الحالة" caption="Status" style="Slicer Style 1" rowHeight="234950"/>
  <slicer name="الصنف" xr10:uid="{00000000-0014-0000-FFFF-FFFF01000000}" cache="Slicer_الصنف" caption="Product" columnCount="3" style="Slicer Style 1" rowHeight="23495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_1" displayName="Table1_1" ref="A1:R127" totalsRowShown="0">
  <autoFilter ref="A1:R127" xr:uid="{00000000-0009-0000-0100-000002000000}"/>
  <tableColumns count="18">
    <tableColumn id="1" xr3:uid="{00000000-0010-0000-0000-000001000000}" name="م"/>
    <tableColumn id="4" xr3:uid="{00000000-0010-0000-0000-000004000000}" name="أسم العميل" dataDxfId="22"/>
    <tableColumn id="5" xr3:uid="{00000000-0010-0000-0000-000005000000}" name="العنوان" dataDxfId="21"/>
    <tableColumn id="6" xr3:uid="{00000000-0010-0000-0000-000006000000}" name="رقم الموبيل"/>
    <tableColumn id="7" xr3:uid="{00000000-0010-0000-0000-000007000000}" name="منصة البيع " dataDxfId="20"/>
    <tableColumn id="8" xr3:uid="{00000000-0010-0000-0000-000008000000}" name="Column8" dataDxfId="19"/>
    <tableColumn id="9" xr3:uid="{00000000-0010-0000-0000-000009000000}" name="Column9" dataDxfId="18"/>
    <tableColumn id="10" xr3:uid="{00000000-0010-0000-0000-00000A000000}" name="الاسم" dataDxfId="17"/>
    <tableColumn id="11" xr3:uid="{00000000-0010-0000-0000-00000B000000}" name="المقاس"/>
    <tableColumn id="12" xr3:uid="{00000000-0010-0000-0000-00000C000000}" name="اللون المعدن" dataDxfId="16"/>
    <tableColumn id="13" xr3:uid="{00000000-0010-0000-0000-00000D000000}" name="لون القماش" dataDxfId="15"/>
    <tableColumn id="14" xr3:uid="{00000000-0010-0000-0000-00000E000000}" name="المنتج" dataDxfId="14"/>
    <tableColumn id="15" xr3:uid="{00000000-0010-0000-0000-00000F000000}" name="سعر البيع "/>
    <tableColumn id="16" xr3:uid="{00000000-0010-0000-0000-000010000000}" name="ميعاد الطلب" dataDxfId="13"/>
    <tableColumn id="17" xr3:uid="{00000000-0010-0000-0000-000011000000}" name="ميعاد التسليم" dataDxfId="12"/>
    <tableColumn id="18" xr3:uid="{00000000-0010-0000-0000-000012000000}" name="تاريخ التسليم" dataDxfId="11"/>
    <tableColumn id="19" xr3:uid="{00000000-0010-0000-0000-000013000000}" name="المسئول عن التسليم" dataDxfId="10"/>
    <tableColumn id="20" xr3:uid="{00000000-0010-0000-0000-000014000000}" name="الحالة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Misuo" displayName="Misuo" ref="A1:U126" tableType="queryTable" totalsRowShown="0">
  <autoFilter ref="A1:U126" xr:uid="{00000000-0009-0000-0100-000005000000}"/>
  <tableColumns count="21">
    <tableColumn id="1" xr3:uid="{00000000-0010-0000-0100-000001000000}" uniqueName="1" name="أسم العميل" queryTableFieldId="1" dataDxfId="39"/>
    <tableColumn id="2" xr3:uid="{00000000-0010-0000-0100-000002000000}" uniqueName="2" name="نوع العميل" queryTableFieldId="2" dataDxfId="38"/>
    <tableColumn id="3" xr3:uid="{00000000-0010-0000-0100-000003000000}" uniqueName="3" name="العنوان" queryTableFieldId="3" dataDxfId="37"/>
    <tableColumn id="4" xr3:uid="{00000000-0010-0000-0100-000004000000}" uniqueName="4" name="المحافظة" queryTableFieldId="4" dataDxfId="36"/>
    <tableColumn id="5" xr3:uid="{00000000-0010-0000-0100-000005000000}" uniqueName="5" name="منصة البيع " queryTableFieldId="5" dataDxfId="35"/>
    <tableColumn id="6" xr3:uid="{00000000-0010-0000-0100-000006000000}" uniqueName="6" name="الصنف" queryTableFieldId="6" dataDxfId="34"/>
    <tableColumn id="7" xr3:uid="{00000000-0010-0000-0100-000007000000}" uniqueName="7" name="نوع الصنف" queryTableFieldId="7" dataDxfId="33"/>
    <tableColumn id="8" xr3:uid="{00000000-0010-0000-0100-000008000000}" uniqueName="8" name="الاسم" queryTableFieldId="8" dataDxfId="32"/>
    <tableColumn id="9" xr3:uid="{00000000-0010-0000-0100-000009000000}" uniqueName="9" name="الكمية" queryTableFieldId="9"/>
    <tableColumn id="10" xr3:uid="{00000000-0010-0000-0100-00000A000000}" uniqueName="10" name="المقاس" queryTableFieldId="10" dataDxfId="31"/>
    <tableColumn id="11" xr3:uid="{00000000-0010-0000-0100-00000B000000}" uniqueName="11" name="اللون المعدن" queryTableFieldId="11" dataDxfId="30"/>
    <tableColumn id="12" xr3:uid="{00000000-0010-0000-0100-00000C000000}" uniqueName="12" name="لون القماش" queryTableFieldId="12" dataDxfId="29"/>
    <tableColumn id="13" xr3:uid="{00000000-0010-0000-0100-00000D000000}" uniqueName="13" name="سعر البيع " queryTableFieldId="13"/>
    <tableColumn id="14" xr3:uid="{00000000-0010-0000-0100-00000E000000}" uniqueName="14" name="طريقة الدفع" queryTableFieldId="14" dataDxfId="28"/>
    <tableColumn id="15" xr3:uid="{00000000-0010-0000-0100-00000F000000}" uniqueName="15" name="ميعاد الطلب" queryTableFieldId="15" dataDxfId="27"/>
    <tableColumn id="16" xr3:uid="{00000000-0010-0000-0100-000010000000}" uniqueName="16" name="ميعاد التسليم" queryTableFieldId="16" dataDxfId="26"/>
    <tableColumn id="17" xr3:uid="{00000000-0010-0000-0100-000011000000}" uniqueName="17" name="تاريخ التسليم" queryTableFieldId="17" dataDxfId="25"/>
    <tableColumn id="18" xr3:uid="{00000000-0010-0000-0100-000012000000}" uniqueName="18" name="مدة التسليم(الهدف)" queryTableFieldId="18"/>
    <tableColumn id="19" xr3:uid="{00000000-0010-0000-0100-000013000000}" uniqueName="19" name="مدة التسليم(الفعلي)" queryTableFieldId="19"/>
    <tableColumn id="20" xr3:uid="{00000000-0010-0000-0100-000014000000}" uniqueName="20" name="المسئول عن التسليم" queryTableFieldId="20" dataDxfId="24"/>
    <tableColumn id="21" xr3:uid="{00000000-0010-0000-0100-000015000000}" uniqueName="21" name="الحالة" queryTableFieldId="21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7"/>
  <sheetViews>
    <sheetView workbookViewId="0">
      <selection sqref="A1:XFD1048576"/>
    </sheetView>
  </sheetViews>
  <sheetFormatPr defaultColWidth="9" defaultRowHeight="14.4"/>
  <cols>
    <col min="1" max="1" width="4" customWidth="1"/>
    <col min="2" max="2" width="15.44140625" customWidth="1"/>
    <col min="3" max="3" width="30" customWidth="1"/>
    <col min="4" max="4" width="23" customWidth="1"/>
    <col min="5" max="5" width="11.5546875" customWidth="1"/>
    <col min="6" max="7" width="10.77734375" customWidth="1"/>
    <col min="8" max="8" width="7.109375" customWidth="1"/>
    <col min="9" max="9" width="7.6640625" customWidth="1"/>
    <col min="10" max="10" width="9.44140625" customWidth="1"/>
    <col min="11" max="11" width="12.44140625" customWidth="1"/>
    <col min="12" max="12" width="34.44140625" customWidth="1"/>
    <col min="13" max="13" width="8" customWidth="1"/>
    <col min="14" max="16" width="10.5546875" customWidth="1"/>
    <col min="17" max="17" width="26.77734375" customWidth="1"/>
    <col min="18" max="18" width="9.44140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t="s">
        <v>19</v>
      </c>
      <c r="E2" t="s">
        <v>20</v>
      </c>
      <c r="F2" t="s">
        <v>21</v>
      </c>
      <c r="G2" t="s">
        <v>22</v>
      </c>
      <c r="L2" t="s">
        <v>23</v>
      </c>
      <c r="M2">
        <v>10160</v>
      </c>
      <c r="N2" s="1"/>
      <c r="O2" s="1"/>
      <c r="P2" s="1">
        <v>45514</v>
      </c>
      <c r="Q2" t="s">
        <v>24</v>
      </c>
      <c r="R2" t="s">
        <v>25</v>
      </c>
    </row>
    <row r="3" spans="1:18">
      <c r="A3">
        <v>2</v>
      </c>
      <c r="B3" t="s">
        <v>26</v>
      </c>
      <c r="C3" t="s">
        <v>27</v>
      </c>
      <c r="E3" t="s">
        <v>20</v>
      </c>
      <c r="F3" t="s">
        <v>21</v>
      </c>
      <c r="G3" t="s">
        <v>22</v>
      </c>
      <c r="L3" t="s">
        <v>28</v>
      </c>
      <c r="M3">
        <v>10160</v>
      </c>
      <c r="N3" s="1"/>
      <c r="O3" s="1"/>
      <c r="P3" s="1">
        <v>45515</v>
      </c>
      <c r="Q3" t="s">
        <v>24</v>
      </c>
      <c r="R3" t="s">
        <v>25</v>
      </c>
    </row>
    <row r="4" spans="1:18">
      <c r="A4">
        <v>3</v>
      </c>
      <c r="B4" t="s">
        <v>29</v>
      </c>
      <c r="C4" t="s">
        <v>30</v>
      </c>
      <c r="E4" t="s">
        <v>20</v>
      </c>
      <c r="F4" t="s">
        <v>21</v>
      </c>
      <c r="G4" t="s">
        <v>31</v>
      </c>
      <c r="H4" t="s">
        <v>32</v>
      </c>
      <c r="I4">
        <v>90</v>
      </c>
      <c r="J4" t="s">
        <v>33</v>
      </c>
      <c r="L4" t="s">
        <v>34</v>
      </c>
      <c r="M4">
        <v>11455</v>
      </c>
      <c r="N4" s="1"/>
      <c r="O4" s="1"/>
      <c r="P4" s="1"/>
      <c r="Q4" t="s">
        <v>35</v>
      </c>
      <c r="R4" t="s">
        <v>36</v>
      </c>
    </row>
    <row r="5" spans="1:18">
      <c r="A5">
        <v>4</v>
      </c>
      <c r="B5" t="s">
        <v>37</v>
      </c>
      <c r="C5" t="s">
        <v>38</v>
      </c>
      <c r="E5" t="s">
        <v>20</v>
      </c>
      <c r="F5" t="s">
        <v>39</v>
      </c>
      <c r="L5" t="s">
        <v>40</v>
      </c>
      <c r="M5">
        <v>8642</v>
      </c>
      <c r="N5" s="1">
        <v>45529</v>
      </c>
      <c r="O5" s="1">
        <v>45542</v>
      </c>
      <c r="P5" s="1">
        <v>45531</v>
      </c>
      <c r="Q5" t="s">
        <v>24</v>
      </c>
      <c r="R5" t="s">
        <v>25</v>
      </c>
    </row>
    <row r="6" spans="1:18">
      <c r="A6">
        <v>5</v>
      </c>
      <c r="B6" t="s">
        <v>41</v>
      </c>
      <c r="C6" t="s">
        <v>30</v>
      </c>
      <c r="E6" t="s">
        <v>20</v>
      </c>
      <c r="F6" t="s">
        <v>21</v>
      </c>
      <c r="G6" t="s">
        <v>31</v>
      </c>
      <c r="H6" t="s">
        <v>42</v>
      </c>
      <c r="I6">
        <v>100</v>
      </c>
      <c r="J6" t="s">
        <v>43</v>
      </c>
      <c r="L6" t="s">
        <v>44</v>
      </c>
      <c r="M6">
        <v>12833</v>
      </c>
      <c r="N6" s="1">
        <v>45520</v>
      </c>
      <c r="O6" s="1">
        <v>45535</v>
      </c>
      <c r="P6" s="1"/>
      <c r="Q6" t="s">
        <v>35</v>
      </c>
      <c r="R6" t="s">
        <v>36</v>
      </c>
    </row>
    <row r="7" spans="1:18">
      <c r="A7">
        <v>6</v>
      </c>
      <c r="B7" t="s">
        <v>45</v>
      </c>
      <c r="E7" t="s">
        <v>45</v>
      </c>
      <c r="F7" t="s">
        <v>46</v>
      </c>
      <c r="G7" t="s">
        <v>47</v>
      </c>
      <c r="L7" t="s">
        <v>48</v>
      </c>
      <c r="M7">
        <v>14550</v>
      </c>
      <c r="N7" s="1">
        <v>45518</v>
      </c>
      <c r="O7" s="1">
        <v>45538</v>
      </c>
      <c r="P7" s="1">
        <v>45540</v>
      </c>
      <c r="Q7" t="s">
        <v>24</v>
      </c>
      <c r="R7" t="s">
        <v>25</v>
      </c>
    </row>
    <row r="8" spans="1:18">
      <c r="A8">
        <v>7</v>
      </c>
      <c r="B8" t="s">
        <v>49</v>
      </c>
      <c r="C8" t="s">
        <v>50</v>
      </c>
      <c r="E8" t="s">
        <v>51</v>
      </c>
      <c r="F8" t="s">
        <v>46</v>
      </c>
      <c r="G8" t="s">
        <v>47</v>
      </c>
      <c r="L8" t="s">
        <v>48</v>
      </c>
      <c r="M8">
        <v>12000</v>
      </c>
      <c r="N8" s="1">
        <v>45521</v>
      </c>
      <c r="O8" s="1">
        <v>45524</v>
      </c>
      <c r="P8" s="1">
        <v>45523</v>
      </c>
      <c r="Q8" t="s">
        <v>52</v>
      </c>
      <c r="R8" t="s">
        <v>25</v>
      </c>
    </row>
    <row r="9" spans="1:18">
      <c r="A9">
        <v>8</v>
      </c>
      <c r="B9" t="s">
        <v>53</v>
      </c>
      <c r="C9" t="s">
        <v>54</v>
      </c>
      <c r="E9" t="s">
        <v>20</v>
      </c>
      <c r="F9" t="s">
        <v>21</v>
      </c>
      <c r="G9" t="s">
        <v>55</v>
      </c>
      <c r="L9" t="s">
        <v>56</v>
      </c>
      <c r="M9">
        <v>7228</v>
      </c>
      <c r="N9" s="1">
        <v>45529</v>
      </c>
      <c r="O9" s="1">
        <v>45538</v>
      </c>
      <c r="P9" s="1">
        <v>45545</v>
      </c>
      <c r="Q9" t="s">
        <v>24</v>
      </c>
      <c r="R9" t="s">
        <v>25</v>
      </c>
    </row>
    <row r="10" spans="1:18">
      <c r="A10">
        <v>9</v>
      </c>
      <c r="B10" t="s">
        <v>57</v>
      </c>
      <c r="C10" t="s">
        <v>58</v>
      </c>
      <c r="E10" t="s">
        <v>59</v>
      </c>
      <c r="F10" t="s">
        <v>60</v>
      </c>
      <c r="G10" t="s">
        <v>61</v>
      </c>
      <c r="L10" t="s">
        <v>62</v>
      </c>
      <c r="M10">
        <v>22000</v>
      </c>
      <c r="N10" s="1">
        <v>45523</v>
      </c>
      <c r="O10" s="1">
        <v>45536</v>
      </c>
      <c r="P10" s="1">
        <v>45552</v>
      </c>
      <c r="R10" t="s">
        <v>25</v>
      </c>
    </row>
    <row r="11" spans="1:18">
      <c r="A11">
        <v>10</v>
      </c>
      <c r="B11" t="s">
        <v>57</v>
      </c>
      <c r="C11" t="s">
        <v>58</v>
      </c>
      <c r="E11" t="s">
        <v>57</v>
      </c>
      <c r="F11" t="s">
        <v>63</v>
      </c>
      <c r="G11" t="s">
        <v>64</v>
      </c>
      <c r="L11" t="s">
        <v>65</v>
      </c>
      <c r="M11">
        <v>16000</v>
      </c>
      <c r="N11" s="1"/>
      <c r="O11" s="1"/>
      <c r="P11" s="1"/>
      <c r="Q11" t="s">
        <v>66</v>
      </c>
      <c r="R11" t="s">
        <v>67</v>
      </c>
    </row>
    <row r="12" spans="1:18">
      <c r="A12">
        <v>11</v>
      </c>
      <c r="B12" t="s">
        <v>57</v>
      </c>
      <c r="C12" t="s">
        <v>68</v>
      </c>
      <c r="E12" t="s">
        <v>59</v>
      </c>
      <c r="F12" t="s">
        <v>63</v>
      </c>
      <c r="G12" t="s">
        <v>64</v>
      </c>
      <c r="L12" t="s">
        <v>69</v>
      </c>
      <c r="M12">
        <v>6000</v>
      </c>
      <c r="N12" s="1">
        <v>45529</v>
      </c>
      <c r="O12" s="1">
        <v>45550</v>
      </c>
      <c r="P12" s="1">
        <v>45552</v>
      </c>
      <c r="Q12" t="s">
        <v>70</v>
      </c>
      <c r="R12" t="s">
        <v>25</v>
      </c>
    </row>
    <row r="13" spans="1:18">
      <c r="A13">
        <v>12</v>
      </c>
      <c r="B13" t="s">
        <v>57</v>
      </c>
      <c r="C13" t="s">
        <v>68</v>
      </c>
      <c r="E13" t="s">
        <v>59</v>
      </c>
      <c r="F13" t="s">
        <v>63</v>
      </c>
      <c r="G13" t="s">
        <v>64</v>
      </c>
      <c r="L13" t="s">
        <v>69</v>
      </c>
      <c r="M13">
        <v>6000</v>
      </c>
      <c r="N13" s="1">
        <v>45529</v>
      </c>
      <c r="O13" s="1">
        <v>45550</v>
      </c>
      <c r="P13" s="1">
        <v>45552</v>
      </c>
      <c r="Q13" t="s">
        <v>70</v>
      </c>
      <c r="R13" t="s">
        <v>25</v>
      </c>
    </row>
    <row r="14" spans="1:18">
      <c r="A14">
        <v>13</v>
      </c>
      <c r="B14" t="s">
        <v>71</v>
      </c>
      <c r="C14" t="s">
        <v>72</v>
      </c>
      <c r="E14" t="s">
        <v>20</v>
      </c>
      <c r="F14" t="s">
        <v>21</v>
      </c>
      <c r="G14" t="s">
        <v>31</v>
      </c>
      <c r="H14" t="s">
        <v>42</v>
      </c>
      <c r="I14">
        <v>80</v>
      </c>
      <c r="J14" t="s">
        <v>73</v>
      </c>
      <c r="L14" t="s">
        <v>74</v>
      </c>
      <c r="M14">
        <v>10499</v>
      </c>
      <c r="N14" s="1">
        <v>45536</v>
      </c>
      <c r="O14" s="1">
        <v>45551</v>
      </c>
      <c r="P14" s="1">
        <v>45543</v>
      </c>
      <c r="Q14" t="s">
        <v>24</v>
      </c>
      <c r="R14" t="s">
        <v>25</v>
      </c>
    </row>
    <row r="15" spans="1:18">
      <c r="A15">
        <v>14</v>
      </c>
      <c r="B15" t="s">
        <v>75</v>
      </c>
      <c r="C15" t="s">
        <v>54</v>
      </c>
      <c r="E15" t="s">
        <v>20</v>
      </c>
      <c r="F15" t="s">
        <v>21</v>
      </c>
      <c r="G15" t="s">
        <v>55</v>
      </c>
      <c r="H15" t="s">
        <v>42</v>
      </c>
      <c r="I15">
        <v>80</v>
      </c>
      <c r="J15" t="s">
        <v>73</v>
      </c>
      <c r="L15" t="s">
        <v>76</v>
      </c>
      <c r="M15">
        <v>7295</v>
      </c>
      <c r="N15" s="1">
        <v>45540</v>
      </c>
      <c r="O15" s="1">
        <v>45549</v>
      </c>
      <c r="P15" s="1"/>
      <c r="R15" t="s">
        <v>67</v>
      </c>
    </row>
    <row r="16" spans="1:18">
      <c r="A16">
        <v>15</v>
      </c>
      <c r="B16" t="s">
        <v>77</v>
      </c>
      <c r="C16" t="s">
        <v>78</v>
      </c>
      <c r="E16" t="s">
        <v>20</v>
      </c>
      <c r="F16" t="s">
        <v>39</v>
      </c>
      <c r="G16" t="s">
        <v>79</v>
      </c>
      <c r="L16" t="s">
        <v>80</v>
      </c>
      <c r="M16">
        <v>7849</v>
      </c>
      <c r="N16" s="1">
        <v>45539</v>
      </c>
      <c r="O16" s="1">
        <v>45551</v>
      </c>
      <c r="P16" s="1">
        <v>45560</v>
      </c>
      <c r="Q16" t="s">
        <v>24</v>
      </c>
      <c r="R16" t="s">
        <v>81</v>
      </c>
    </row>
    <row r="17" spans="1:18">
      <c r="A17">
        <v>16</v>
      </c>
      <c r="B17" t="s">
        <v>82</v>
      </c>
      <c r="C17" t="s">
        <v>83</v>
      </c>
      <c r="E17" t="s">
        <v>84</v>
      </c>
      <c r="F17" t="s">
        <v>21</v>
      </c>
      <c r="G17" t="s">
        <v>31</v>
      </c>
      <c r="H17" t="s">
        <v>32</v>
      </c>
      <c r="I17">
        <v>120</v>
      </c>
      <c r="J17" t="s">
        <v>85</v>
      </c>
      <c r="L17" t="s">
        <v>86</v>
      </c>
      <c r="M17">
        <v>6180</v>
      </c>
      <c r="N17" s="1">
        <v>45538</v>
      </c>
      <c r="O17" s="1">
        <v>45551</v>
      </c>
      <c r="P17" s="1">
        <v>45550</v>
      </c>
      <c r="Q17" t="s">
        <v>70</v>
      </c>
      <c r="R17" t="s">
        <v>25</v>
      </c>
    </row>
    <row r="18" spans="1:18">
      <c r="A18">
        <v>17</v>
      </c>
      <c r="B18" t="s">
        <v>82</v>
      </c>
      <c r="C18" t="s">
        <v>83</v>
      </c>
      <c r="E18" t="s">
        <v>84</v>
      </c>
      <c r="F18" t="s">
        <v>21</v>
      </c>
      <c r="G18" t="s">
        <v>31</v>
      </c>
      <c r="H18" t="s">
        <v>32</v>
      </c>
      <c r="I18">
        <v>120</v>
      </c>
      <c r="J18" t="s">
        <v>85</v>
      </c>
      <c r="L18" t="s">
        <v>86</v>
      </c>
      <c r="M18">
        <v>6180</v>
      </c>
      <c r="N18" s="1">
        <v>45538</v>
      </c>
      <c r="O18" s="1">
        <v>45551</v>
      </c>
      <c r="P18" s="1">
        <v>45550</v>
      </c>
      <c r="Q18" t="s">
        <v>70</v>
      </c>
      <c r="R18" t="s">
        <v>25</v>
      </c>
    </row>
    <row r="19" spans="1:18">
      <c r="A19">
        <v>18</v>
      </c>
      <c r="B19" t="s">
        <v>87</v>
      </c>
      <c r="C19" t="s">
        <v>88</v>
      </c>
      <c r="E19" t="s">
        <v>20</v>
      </c>
      <c r="F19" t="s">
        <v>21</v>
      </c>
      <c r="G19" t="s">
        <v>31</v>
      </c>
      <c r="H19" t="s">
        <v>89</v>
      </c>
      <c r="I19">
        <v>80</v>
      </c>
      <c r="J19" t="s">
        <v>73</v>
      </c>
      <c r="L19" t="s">
        <v>90</v>
      </c>
      <c r="M19">
        <v>11199</v>
      </c>
      <c r="N19" s="1">
        <v>45539</v>
      </c>
      <c r="O19" s="1">
        <v>45553</v>
      </c>
      <c r="P19" s="1"/>
      <c r="R19" t="s">
        <v>67</v>
      </c>
    </row>
    <row r="20" spans="1:18">
      <c r="A20">
        <v>19</v>
      </c>
      <c r="B20" t="s">
        <v>49</v>
      </c>
      <c r="C20" t="s">
        <v>91</v>
      </c>
      <c r="E20" t="s">
        <v>20</v>
      </c>
      <c r="F20" t="s">
        <v>21</v>
      </c>
      <c r="G20" t="s">
        <v>55</v>
      </c>
      <c r="H20" t="s">
        <v>92</v>
      </c>
      <c r="I20">
        <v>80</v>
      </c>
      <c r="J20" t="s">
        <v>73</v>
      </c>
      <c r="L20" t="s">
        <v>93</v>
      </c>
      <c r="M20">
        <v>7987</v>
      </c>
      <c r="N20" s="1">
        <v>45541</v>
      </c>
      <c r="O20" s="1">
        <v>45551</v>
      </c>
      <c r="P20" s="1">
        <v>45556</v>
      </c>
      <c r="Q20" t="s">
        <v>70</v>
      </c>
      <c r="R20" t="s">
        <v>94</v>
      </c>
    </row>
    <row r="21" spans="1:18">
      <c r="A21">
        <v>20</v>
      </c>
      <c r="B21" t="s">
        <v>59</v>
      </c>
      <c r="C21" t="s">
        <v>58</v>
      </c>
      <c r="E21" t="s">
        <v>59</v>
      </c>
      <c r="F21" t="s">
        <v>95</v>
      </c>
      <c r="G21" t="s">
        <v>96</v>
      </c>
      <c r="L21" t="s">
        <v>97</v>
      </c>
      <c r="M21">
        <v>9300</v>
      </c>
      <c r="N21" s="1">
        <v>45539</v>
      </c>
      <c r="O21" s="1">
        <v>45550</v>
      </c>
      <c r="P21" s="1">
        <v>45552</v>
      </c>
      <c r="Q21" t="s">
        <v>70</v>
      </c>
      <c r="R21" t="s">
        <v>25</v>
      </c>
    </row>
    <row r="22" spans="1:18">
      <c r="A22">
        <v>21</v>
      </c>
      <c r="B22" t="s">
        <v>49</v>
      </c>
      <c r="C22" t="s">
        <v>91</v>
      </c>
      <c r="E22" t="s">
        <v>20</v>
      </c>
      <c r="F22" t="s">
        <v>21</v>
      </c>
      <c r="G22" t="s">
        <v>55</v>
      </c>
      <c r="H22" t="s">
        <v>92</v>
      </c>
      <c r="I22">
        <v>80</v>
      </c>
      <c r="J22" t="s">
        <v>73</v>
      </c>
      <c r="L22" t="s">
        <v>93</v>
      </c>
      <c r="M22">
        <v>7987</v>
      </c>
      <c r="N22" s="1">
        <v>45541</v>
      </c>
      <c r="O22" s="1">
        <v>45551</v>
      </c>
      <c r="P22" s="1">
        <v>45556</v>
      </c>
      <c r="Q22" t="s">
        <v>70</v>
      </c>
      <c r="R22" t="s">
        <v>94</v>
      </c>
    </row>
    <row r="23" spans="1:18">
      <c r="A23">
        <v>22</v>
      </c>
      <c r="B23" t="s">
        <v>49</v>
      </c>
      <c r="C23" t="s">
        <v>91</v>
      </c>
      <c r="E23" t="s">
        <v>20</v>
      </c>
      <c r="F23" t="s">
        <v>21</v>
      </c>
      <c r="G23" t="s">
        <v>55</v>
      </c>
      <c r="H23" t="s">
        <v>92</v>
      </c>
      <c r="I23">
        <v>80</v>
      </c>
      <c r="J23" t="s">
        <v>73</v>
      </c>
      <c r="L23" t="s">
        <v>93</v>
      </c>
      <c r="M23">
        <v>7987</v>
      </c>
      <c r="N23" s="1">
        <v>45541</v>
      </c>
      <c r="O23" s="1">
        <v>45551</v>
      </c>
      <c r="P23" s="1">
        <v>45556</v>
      </c>
      <c r="Q23" t="s">
        <v>70</v>
      </c>
      <c r="R23" t="s">
        <v>94</v>
      </c>
    </row>
    <row r="24" spans="1:18">
      <c r="A24">
        <v>23</v>
      </c>
      <c r="B24" t="s">
        <v>49</v>
      </c>
      <c r="C24" t="s">
        <v>91</v>
      </c>
      <c r="E24" t="s">
        <v>20</v>
      </c>
      <c r="F24" t="s">
        <v>21</v>
      </c>
      <c r="G24" t="s">
        <v>55</v>
      </c>
      <c r="H24" t="s">
        <v>92</v>
      </c>
      <c r="I24">
        <v>80</v>
      </c>
      <c r="J24" t="s">
        <v>73</v>
      </c>
      <c r="L24" t="s">
        <v>93</v>
      </c>
      <c r="M24">
        <v>7987</v>
      </c>
      <c r="N24" s="1">
        <v>45541</v>
      </c>
      <c r="O24" s="1">
        <v>45551</v>
      </c>
      <c r="P24" s="1">
        <v>45556</v>
      </c>
      <c r="Q24" t="s">
        <v>70</v>
      </c>
      <c r="R24" t="s">
        <v>94</v>
      </c>
    </row>
    <row r="25" spans="1:18">
      <c r="A25">
        <v>24</v>
      </c>
      <c r="B25" t="s">
        <v>98</v>
      </c>
      <c r="C25" t="s">
        <v>99</v>
      </c>
      <c r="E25" t="s">
        <v>20</v>
      </c>
      <c r="F25" t="s">
        <v>39</v>
      </c>
      <c r="G25" t="s">
        <v>79</v>
      </c>
      <c r="L25" t="s">
        <v>80</v>
      </c>
      <c r="M25">
        <v>8849</v>
      </c>
      <c r="N25" s="1">
        <v>45538</v>
      </c>
      <c r="O25" s="1">
        <v>45581</v>
      </c>
      <c r="P25" s="1"/>
      <c r="R25" t="s">
        <v>67</v>
      </c>
    </row>
    <row r="26" spans="1:18">
      <c r="A26">
        <v>25</v>
      </c>
      <c r="B26" t="s">
        <v>100</v>
      </c>
      <c r="C26" t="s">
        <v>54</v>
      </c>
      <c r="E26" t="s">
        <v>20</v>
      </c>
      <c r="F26" t="s">
        <v>21</v>
      </c>
      <c r="G26" t="s">
        <v>55</v>
      </c>
      <c r="H26" t="s">
        <v>101</v>
      </c>
      <c r="I26">
        <v>120</v>
      </c>
      <c r="J26" t="s">
        <v>73</v>
      </c>
      <c r="L26" t="s">
        <v>102</v>
      </c>
      <c r="M26">
        <v>10987</v>
      </c>
      <c r="N26" s="1">
        <v>45544</v>
      </c>
      <c r="O26" s="1">
        <v>45552</v>
      </c>
      <c r="P26" s="1">
        <v>45556</v>
      </c>
      <c r="Q26" t="s">
        <v>70</v>
      </c>
      <c r="R26" t="s">
        <v>25</v>
      </c>
    </row>
    <row r="27" spans="1:18">
      <c r="A27">
        <v>26</v>
      </c>
      <c r="B27" t="s">
        <v>45</v>
      </c>
      <c r="E27" t="s">
        <v>45</v>
      </c>
      <c r="F27" t="s">
        <v>21</v>
      </c>
      <c r="G27" t="s">
        <v>31</v>
      </c>
      <c r="H27" t="s">
        <v>89</v>
      </c>
      <c r="I27">
        <v>100</v>
      </c>
      <c r="J27" t="s">
        <v>73</v>
      </c>
      <c r="L27" t="s">
        <v>103</v>
      </c>
      <c r="M27">
        <v>9208</v>
      </c>
      <c r="N27" s="1">
        <v>45536</v>
      </c>
      <c r="O27" s="1">
        <v>45554</v>
      </c>
      <c r="P27" s="1">
        <v>45556</v>
      </c>
      <c r="Q27" t="s">
        <v>70</v>
      </c>
      <c r="R27" t="s">
        <v>94</v>
      </c>
    </row>
    <row r="28" spans="1:18">
      <c r="A28">
        <v>27</v>
      </c>
      <c r="B28" t="s">
        <v>45</v>
      </c>
      <c r="E28" t="s">
        <v>104</v>
      </c>
      <c r="F28" t="s">
        <v>21</v>
      </c>
      <c r="G28" t="s">
        <v>31</v>
      </c>
      <c r="H28" t="s">
        <v>89</v>
      </c>
      <c r="I28">
        <v>100</v>
      </c>
      <c r="J28" t="s">
        <v>85</v>
      </c>
      <c r="L28" t="s">
        <v>105</v>
      </c>
      <c r="M28">
        <v>9208</v>
      </c>
      <c r="N28" s="1">
        <v>45536</v>
      </c>
      <c r="O28" s="1">
        <v>45554</v>
      </c>
      <c r="P28" s="1">
        <v>45556</v>
      </c>
      <c r="Q28" t="s">
        <v>70</v>
      </c>
      <c r="R28" t="s">
        <v>94</v>
      </c>
    </row>
    <row r="29" spans="1:18">
      <c r="A29">
        <v>28</v>
      </c>
      <c r="B29" t="s">
        <v>106</v>
      </c>
      <c r="C29" t="s">
        <v>107</v>
      </c>
      <c r="E29" t="s">
        <v>84</v>
      </c>
      <c r="F29" t="s">
        <v>21</v>
      </c>
      <c r="G29" t="s">
        <v>55</v>
      </c>
      <c r="H29" t="s">
        <v>92</v>
      </c>
      <c r="I29">
        <v>120</v>
      </c>
      <c r="J29" t="s">
        <v>73</v>
      </c>
      <c r="L29" t="s">
        <v>108</v>
      </c>
      <c r="M29">
        <v>4020</v>
      </c>
      <c r="N29" s="1">
        <v>45547</v>
      </c>
      <c r="O29" s="1">
        <v>45556</v>
      </c>
      <c r="P29" s="1">
        <v>45557</v>
      </c>
      <c r="Q29" t="s">
        <v>70</v>
      </c>
      <c r="R29" t="s">
        <v>25</v>
      </c>
    </row>
    <row r="30" spans="1:18">
      <c r="A30">
        <v>29</v>
      </c>
      <c r="B30" t="s">
        <v>106</v>
      </c>
      <c r="C30" t="s">
        <v>107</v>
      </c>
      <c r="E30" t="s">
        <v>84</v>
      </c>
      <c r="F30" t="s">
        <v>21</v>
      </c>
      <c r="G30" t="s">
        <v>55</v>
      </c>
      <c r="H30" t="s">
        <v>92</v>
      </c>
      <c r="I30">
        <v>120</v>
      </c>
      <c r="J30" t="s">
        <v>73</v>
      </c>
      <c r="L30" t="s">
        <v>108</v>
      </c>
      <c r="M30">
        <v>4020</v>
      </c>
      <c r="N30" s="1">
        <v>45547</v>
      </c>
      <c r="O30" s="1">
        <v>45556</v>
      </c>
      <c r="P30" s="1">
        <v>45557</v>
      </c>
      <c r="Q30" t="s">
        <v>70</v>
      </c>
      <c r="R30" t="s">
        <v>25</v>
      </c>
    </row>
    <row r="31" spans="1:18">
      <c r="A31">
        <v>30</v>
      </c>
      <c r="B31" t="s">
        <v>106</v>
      </c>
      <c r="C31" t="s">
        <v>107</v>
      </c>
      <c r="E31" t="s">
        <v>84</v>
      </c>
      <c r="F31" t="s">
        <v>21</v>
      </c>
      <c r="G31" t="s">
        <v>55</v>
      </c>
      <c r="H31" t="s">
        <v>109</v>
      </c>
      <c r="I31">
        <v>120</v>
      </c>
      <c r="J31" t="s">
        <v>85</v>
      </c>
      <c r="L31" t="s">
        <v>110</v>
      </c>
      <c r="M31">
        <v>4020</v>
      </c>
      <c r="N31" s="1">
        <v>45547</v>
      </c>
      <c r="O31" s="1">
        <v>45556</v>
      </c>
      <c r="P31" s="1">
        <v>45557</v>
      </c>
      <c r="Q31" t="s">
        <v>70</v>
      </c>
      <c r="R31" t="s">
        <v>25</v>
      </c>
    </row>
    <row r="32" spans="1:18">
      <c r="A32">
        <v>31</v>
      </c>
      <c r="B32" t="s">
        <v>106</v>
      </c>
      <c r="C32" t="s">
        <v>107</v>
      </c>
      <c r="E32" t="s">
        <v>84</v>
      </c>
      <c r="F32" t="s">
        <v>21</v>
      </c>
      <c r="G32" t="s">
        <v>55</v>
      </c>
      <c r="H32" t="s">
        <v>109</v>
      </c>
      <c r="I32">
        <v>120</v>
      </c>
      <c r="J32" t="s">
        <v>85</v>
      </c>
      <c r="L32" t="s">
        <v>110</v>
      </c>
      <c r="M32">
        <v>4020</v>
      </c>
      <c r="N32" s="1">
        <v>45547</v>
      </c>
      <c r="O32" s="1">
        <v>45556</v>
      </c>
      <c r="P32" s="1">
        <v>45557</v>
      </c>
      <c r="Q32" t="s">
        <v>70</v>
      </c>
      <c r="R32" t="s">
        <v>25</v>
      </c>
    </row>
    <row r="33" spans="1:18">
      <c r="A33">
        <v>32</v>
      </c>
      <c r="B33" t="s">
        <v>111</v>
      </c>
      <c r="C33" t="s">
        <v>112</v>
      </c>
      <c r="E33" t="s">
        <v>20</v>
      </c>
      <c r="F33" t="s">
        <v>21</v>
      </c>
      <c r="G33" t="s">
        <v>22</v>
      </c>
      <c r="J33" t="s">
        <v>85</v>
      </c>
      <c r="K33" t="s">
        <v>85</v>
      </c>
      <c r="L33" t="s">
        <v>113</v>
      </c>
      <c r="M33">
        <v>9399</v>
      </c>
      <c r="N33" s="1"/>
      <c r="O33" s="1">
        <v>45557</v>
      </c>
      <c r="P33" s="1"/>
      <c r="Q33" t="s">
        <v>35</v>
      </c>
      <c r="R33" t="s">
        <v>36</v>
      </c>
    </row>
    <row r="34" spans="1:18">
      <c r="A34">
        <v>33</v>
      </c>
      <c r="B34" t="s">
        <v>114</v>
      </c>
      <c r="C34" t="s">
        <v>115</v>
      </c>
      <c r="E34" t="s">
        <v>20</v>
      </c>
      <c r="F34" t="s">
        <v>39</v>
      </c>
      <c r="G34" t="s">
        <v>116</v>
      </c>
      <c r="L34" t="s">
        <v>117</v>
      </c>
      <c r="M34">
        <v>8349</v>
      </c>
      <c r="N34" s="1">
        <v>45549</v>
      </c>
      <c r="O34" s="1">
        <v>45557</v>
      </c>
      <c r="P34" s="1">
        <v>45559</v>
      </c>
      <c r="Q34" t="s">
        <v>24</v>
      </c>
      <c r="R34" t="s">
        <v>25</v>
      </c>
    </row>
    <row r="35" spans="1:18">
      <c r="A35">
        <v>34</v>
      </c>
      <c r="B35" t="s">
        <v>118</v>
      </c>
      <c r="C35" t="s">
        <v>54</v>
      </c>
      <c r="E35" t="s">
        <v>20</v>
      </c>
      <c r="F35" t="s">
        <v>21</v>
      </c>
      <c r="G35" t="s">
        <v>22</v>
      </c>
      <c r="J35" t="s">
        <v>85</v>
      </c>
      <c r="K35" t="s">
        <v>85</v>
      </c>
      <c r="L35" t="s">
        <v>119</v>
      </c>
      <c r="M35">
        <v>9399</v>
      </c>
      <c r="N35" s="1">
        <v>45548</v>
      </c>
      <c r="O35" s="1">
        <v>45559</v>
      </c>
      <c r="P35" s="1"/>
      <c r="Q35" t="s">
        <v>24</v>
      </c>
      <c r="R35" t="s">
        <v>94</v>
      </c>
    </row>
    <row r="36" spans="1:18">
      <c r="A36">
        <v>35</v>
      </c>
      <c r="B36" t="s">
        <v>120</v>
      </c>
      <c r="C36" t="s">
        <v>121</v>
      </c>
      <c r="E36" t="s">
        <v>20</v>
      </c>
      <c r="F36" t="s">
        <v>39</v>
      </c>
      <c r="G36" t="s">
        <v>79</v>
      </c>
      <c r="L36" t="s">
        <v>80</v>
      </c>
      <c r="M36">
        <v>7849</v>
      </c>
      <c r="N36" s="1">
        <v>45547</v>
      </c>
      <c r="O36" s="1">
        <v>45561</v>
      </c>
      <c r="P36" s="1"/>
      <c r="Q36" t="s">
        <v>24</v>
      </c>
      <c r="R36" t="s">
        <v>122</v>
      </c>
    </row>
    <row r="37" spans="1:18">
      <c r="A37">
        <v>36</v>
      </c>
      <c r="B37" t="s">
        <v>123</v>
      </c>
      <c r="C37" t="s">
        <v>124</v>
      </c>
      <c r="D37" t="s">
        <v>125</v>
      </c>
      <c r="E37" t="s">
        <v>51</v>
      </c>
      <c r="F37" t="s">
        <v>21</v>
      </c>
      <c r="G37" t="s">
        <v>126</v>
      </c>
      <c r="H37" t="s">
        <v>32</v>
      </c>
      <c r="I37">
        <v>100</v>
      </c>
      <c r="J37" t="s">
        <v>85</v>
      </c>
      <c r="L37" t="s">
        <v>127</v>
      </c>
      <c r="M37">
        <v>9450</v>
      </c>
      <c r="N37" s="1">
        <v>45547</v>
      </c>
      <c r="O37" s="1">
        <v>45561</v>
      </c>
      <c r="P37" s="1"/>
      <c r="R37" t="s">
        <v>128</v>
      </c>
    </row>
    <row r="38" spans="1:18">
      <c r="A38">
        <v>37</v>
      </c>
      <c r="B38" t="s">
        <v>129</v>
      </c>
      <c r="C38" t="s">
        <v>91</v>
      </c>
      <c r="E38" t="s">
        <v>20</v>
      </c>
      <c r="F38" t="s">
        <v>21</v>
      </c>
      <c r="G38" t="s">
        <v>55</v>
      </c>
      <c r="H38" t="s">
        <v>101</v>
      </c>
      <c r="I38">
        <v>120</v>
      </c>
      <c r="J38" t="s">
        <v>85</v>
      </c>
      <c r="L38" t="s">
        <v>130</v>
      </c>
      <c r="M38">
        <v>7460</v>
      </c>
      <c r="N38" s="1">
        <v>45548</v>
      </c>
      <c r="O38" s="1">
        <v>45561</v>
      </c>
      <c r="P38" s="1">
        <v>45568</v>
      </c>
      <c r="Q38" t="s">
        <v>70</v>
      </c>
      <c r="R38" t="s">
        <v>94</v>
      </c>
    </row>
    <row r="39" spans="1:18">
      <c r="A39">
        <v>38</v>
      </c>
      <c r="B39" t="s">
        <v>131</v>
      </c>
      <c r="C39" t="s">
        <v>91</v>
      </c>
      <c r="E39" t="s">
        <v>20</v>
      </c>
      <c r="F39" t="s">
        <v>21</v>
      </c>
      <c r="G39" t="s">
        <v>55</v>
      </c>
      <c r="H39" t="s">
        <v>132</v>
      </c>
      <c r="I39">
        <v>140</v>
      </c>
      <c r="J39" t="s">
        <v>133</v>
      </c>
      <c r="K39" t="s">
        <v>43</v>
      </c>
      <c r="L39" t="s">
        <v>134</v>
      </c>
      <c r="M39">
        <v>9528</v>
      </c>
      <c r="N39" s="1">
        <v>45548</v>
      </c>
      <c r="O39" s="1">
        <v>45561</v>
      </c>
      <c r="P39" s="1">
        <v>45568</v>
      </c>
      <c r="Q39" t="s">
        <v>70</v>
      </c>
      <c r="R39" t="s">
        <v>94</v>
      </c>
    </row>
    <row r="40" spans="1:18">
      <c r="A40">
        <v>39</v>
      </c>
      <c r="B40" t="s">
        <v>135</v>
      </c>
      <c r="C40" t="s">
        <v>54</v>
      </c>
      <c r="E40" t="s">
        <v>20</v>
      </c>
      <c r="F40" t="s">
        <v>21</v>
      </c>
      <c r="G40" t="s">
        <v>31</v>
      </c>
      <c r="H40" t="s">
        <v>32</v>
      </c>
      <c r="I40">
        <v>120</v>
      </c>
      <c r="J40" t="s">
        <v>43</v>
      </c>
      <c r="L40" t="s">
        <v>136</v>
      </c>
      <c r="M40">
        <v>12999</v>
      </c>
      <c r="N40" s="1">
        <v>45549</v>
      </c>
      <c r="O40" s="1">
        <v>45562</v>
      </c>
      <c r="P40" s="1">
        <v>45567</v>
      </c>
      <c r="Q40" t="s">
        <v>70</v>
      </c>
      <c r="R40" t="s">
        <v>94</v>
      </c>
    </row>
    <row r="41" spans="1:18">
      <c r="A41">
        <v>40</v>
      </c>
      <c r="B41" t="s">
        <v>137</v>
      </c>
      <c r="C41" t="s">
        <v>138</v>
      </c>
      <c r="E41" t="s">
        <v>20</v>
      </c>
      <c r="F41" t="s">
        <v>21</v>
      </c>
      <c r="G41" t="s">
        <v>31</v>
      </c>
      <c r="H41" t="s">
        <v>42</v>
      </c>
      <c r="I41">
        <v>90</v>
      </c>
      <c r="J41" t="s">
        <v>85</v>
      </c>
      <c r="L41" t="s">
        <v>139</v>
      </c>
      <c r="M41">
        <v>5999</v>
      </c>
      <c r="N41" s="1">
        <v>45547</v>
      </c>
      <c r="O41" s="1">
        <v>45564</v>
      </c>
      <c r="P41" s="1"/>
    </row>
    <row r="42" spans="1:18">
      <c r="A42">
        <v>41</v>
      </c>
      <c r="B42" t="s">
        <v>140</v>
      </c>
      <c r="C42" t="s">
        <v>141</v>
      </c>
      <c r="E42" t="s">
        <v>20</v>
      </c>
      <c r="F42" t="s">
        <v>21</v>
      </c>
      <c r="G42" t="s">
        <v>31</v>
      </c>
      <c r="H42" t="s">
        <v>32</v>
      </c>
      <c r="I42">
        <v>100</v>
      </c>
      <c r="J42" t="s">
        <v>85</v>
      </c>
      <c r="L42" t="s">
        <v>142</v>
      </c>
      <c r="M42">
        <v>11949</v>
      </c>
      <c r="N42" s="1">
        <v>45547</v>
      </c>
      <c r="O42" s="1">
        <v>45564</v>
      </c>
      <c r="P42" s="1">
        <v>45567</v>
      </c>
      <c r="Q42" t="s">
        <v>70</v>
      </c>
      <c r="R42" t="s">
        <v>94</v>
      </c>
    </row>
    <row r="43" spans="1:18">
      <c r="A43">
        <v>42</v>
      </c>
      <c r="B43" t="s">
        <v>140</v>
      </c>
      <c r="C43" t="s">
        <v>141</v>
      </c>
      <c r="E43" t="s">
        <v>20</v>
      </c>
      <c r="F43" t="s">
        <v>21</v>
      </c>
      <c r="G43" t="s">
        <v>31</v>
      </c>
      <c r="H43" t="s">
        <v>32</v>
      </c>
      <c r="I43">
        <v>100</v>
      </c>
      <c r="J43" t="s">
        <v>85</v>
      </c>
      <c r="L43" t="s">
        <v>142</v>
      </c>
      <c r="M43">
        <v>11949</v>
      </c>
      <c r="N43" s="1">
        <v>45547</v>
      </c>
      <c r="O43" s="1">
        <v>45564</v>
      </c>
      <c r="P43" s="1">
        <v>45567</v>
      </c>
      <c r="Q43" t="s">
        <v>70</v>
      </c>
      <c r="R43" t="s">
        <v>94</v>
      </c>
    </row>
    <row r="44" spans="1:18">
      <c r="A44">
        <v>43</v>
      </c>
      <c r="B44" t="s">
        <v>49</v>
      </c>
      <c r="C44" t="s">
        <v>143</v>
      </c>
      <c r="E44" t="s">
        <v>20</v>
      </c>
      <c r="F44" t="s">
        <v>21</v>
      </c>
      <c r="G44" t="s">
        <v>126</v>
      </c>
      <c r="H44" t="s">
        <v>32</v>
      </c>
      <c r="I44">
        <v>80</v>
      </c>
      <c r="J44" t="s">
        <v>73</v>
      </c>
      <c r="L44" t="s">
        <v>144</v>
      </c>
      <c r="M44">
        <v>16599</v>
      </c>
      <c r="N44" s="1">
        <v>45548</v>
      </c>
      <c r="O44" s="1">
        <v>45565</v>
      </c>
      <c r="P44" s="1">
        <v>45568</v>
      </c>
      <c r="Q44" t="s">
        <v>70</v>
      </c>
      <c r="R44" t="s">
        <v>94</v>
      </c>
    </row>
    <row r="45" spans="1:18">
      <c r="A45">
        <v>44</v>
      </c>
      <c r="B45" t="s">
        <v>145</v>
      </c>
      <c r="C45" t="s">
        <v>38</v>
      </c>
      <c r="E45" t="s">
        <v>20</v>
      </c>
      <c r="F45" t="s">
        <v>21</v>
      </c>
      <c r="G45" t="s">
        <v>31</v>
      </c>
      <c r="H45" t="s">
        <v>32</v>
      </c>
      <c r="I45">
        <v>80</v>
      </c>
      <c r="J45" t="s">
        <v>73</v>
      </c>
      <c r="L45" t="s">
        <v>146</v>
      </c>
      <c r="M45">
        <v>10999</v>
      </c>
      <c r="N45" s="1">
        <v>45548</v>
      </c>
      <c r="O45" s="1">
        <v>45565</v>
      </c>
      <c r="P45" s="1">
        <v>45581</v>
      </c>
      <c r="Q45" t="s">
        <v>24</v>
      </c>
      <c r="R45" t="s">
        <v>94</v>
      </c>
    </row>
    <row r="46" spans="1:18">
      <c r="A46">
        <v>45</v>
      </c>
      <c r="B46" t="s">
        <v>147</v>
      </c>
      <c r="C46" t="s">
        <v>148</v>
      </c>
      <c r="E46" t="s">
        <v>20</v>
      </c>
      <c r="F46" t="s">
        <v>21</v>
      </c>
      <c r="G46" t="s">
        <v>31</v>
      </c>
      <c r="H46" t="s">
        <v>32</v>
      </c>
      <c r="I46">
        <v>140</v>
      </c>
      <c r="J46" t="s">
        <v>33</v>
      </c>
      <c r="L46" t="s">
        <v>149</v>
      </c>
      <c r="M46">
        <v>13099</v>
      </c>
      <c r="N46" s="1">
        <v>45548</v>
      </c>
      <c r="O46" s="1">
        <v>45565</v>
      </c>
      <c r="P46" s="1">
        <v>45568</v>
      </c>
      <c r="Q46" t="s">
        <v>24</v>
      </c>
      <c r="R46" t="s">
        <v>94</v>
      </c>
    </row>
    <row r="47" spans="1:18">
      <c r="A47">
        <v>46</v>
      </c>
      <c r="B47" t="s">
        <v>150</v>
      </c>
      <c r="C47" t="s">
        <v>54</v>
      </c>
      <c r="E47" t="s">
        <v>20</v>
      </c>
      <c r="F47" t="s">
        <v>21</v>
      </c>
      <c r="G47" t="s">
        <v>31</v>
      </c>
      <c r="H47" t="s">
        <v>89</v>
      </c>
      <c r="I47">
        <v>120</v>
      </c>
      <c r="J47" t="s">
        <v>151</v>
      </c>
      <c r="L47" t="s">
        <v>152</v>
      </c>
      <c r="M47">
        <v>13849</v>
      </c>
      <c r="N47" s="1">
        <v>45548</v>
      </c>
      <c r="O47" s="1">
        <v>45565</v>
      </c>
      <c r="P47" s="1">
        <v>45585</v>
      </c>
      <c r="Q47" t="s">
        <v>70</v>
      </c>
      <c r="R47" t="s">
        <v>94</v>
      </c>
    </row>
    <row r="48" spans="1:18">
      <c r="A48">
        <v>47</v>
      </c>
      <c r="B48" t="s">
        <v>153</v>
      </c>
      <c r="C48" t="s">
        <v>154</v>
      </c>
      <c r="E48" t="s">
        <v>20</v>
      </c>
      <c r="F48" t="s">
        <v>63</v>
      </c>
      <c r="G48" t="s">
        <v>47</v>
      </c>
      <c r="J48" t="s">
        <v>85</v>
      </c>
      <c r="K48" t="s">
        <v>43</v>
      </c>
      <c r="L48" t="s">
        <v>155</v>
      </c>
      <c r="M48">
        <v>21999</v>
      </c>
      <c r="N48" s="1">
        <v>45548</v>
      </c>
      <c r="O48" s="1">
        <v>45565</v>
      </c>
      <c r="P48" s="1"/>
      <c r="Q48" t="s">
        <v>70</v>
      </c>
      <c r="R48" t="s">
        <v>94</v>
      </c>
    </row>
    <row r="49" spans="1:18">
      <c r="A49">
        <v>48</v>
      </c>
      <c r="B49" t="s">
        <v>156</v>
      </c>
      <c r="C49" t="s">
        <v>54</v>
      </c>
      <c r="E49" t="s">
        <v>20</v>
      </c>
      <c r="F49" t="s">
        <v>21</v>
      </c>
      <c r="G49" t="s">
        <v>31</v>
      </c>
      <c r="H49" t="s">
        <v>32</v>
      </c>
      <c r="I49">
        <v>80</v>
      </c>
      <c r="J49" t="s">
        <v>73</v>
      </c>
      <c r="L49" t="s">
        <v>146</v>
      </c>
      <c r="M49">
        <v>10999</v>
      </c>
      <c r="N49" s="1">
        <v>45548</v>
      </c>
      <c r="O49" s="1">
        <v>45565</v>
      </c>
      <c r="P49" s="1">
        <v>45580</v>
      </c>
      <c r="Q49" t="s">
        <v>70</v>
      </c>
      <c r="R49" t="s">
        <v>94</v>
      </c>
    </row>
    <row r="50" spans="1:18">
      <c r="A50">
        <v>49</v>
      </c>
      <c r="B50" t="s">
        <v>157</v>
      </c>
      <c r="C50" t="s">
        <v>99</v>
      </c>
      <c r="E50" t="s">
        <v>20</v>
      </c>
      <c r="F50" t="s">
        <v>21</v>
      </c>
      <c r="G50" t="s">
        <v>126</v>
      </c>
      <c r="H50" t="s">
        <v>32</v>
      </c>
      <c r="I50">
        <v>90</v>
      </c>
      <c r="J50" t="s">
        <v>85</v>
      </c>
      <c r="L50" t="s">
        <v>158</v>
      </c>
      <c r="M50">
        <v>17249</v>
      </c>
      <c r="N50" s="1">
        <v>45548</v>
      </c>
      <c r="O50" s="1">
        <v>45565</v>
      </c>
      <c r="P50" s="1">
        <v>45569</v>
      </c>
      <c r="Q50" t="s">
        <v>70</v>
      </c>
      <c r="R50" t="s">
        <v>94</v>
      </c>
    </row>
    <row r="51" spans="1:18">
      <c r="A51">
        <v>50</v>
      </c>
      <c r="B51" t="s">
        <v>159</v>
      </c>
      <c r="C51" t="s">
        <v>160</v>
      </c>
      <c r="E51" t="s">
        <v>20</v>
      </c>
      <c r="F51" t="s">
        <v>39</v>
      </c>
      <c r="G51" t="s">
        <v>79</v>
      </c>
      <c r="L51" t="s">
        <v>161</v>
      </c>
      <c r="M51">
        <v>8349</v>
      </c>
      <c r="N51" s="1">
        <v>45549</v>
      </c>
      <c r="O51" s="1">
        <v>45581</v>
      </c>
      <c r="P51" s="1">
        <v>45586</v>
      </c>
      <c r="Q51" t="s">
        <v>70</v>
      </c>
      <c r="R51" t="s">
        <v>94</v>
      </c>
    </row>
    <row r="52" spans="1:18">
      <c r="A52">
        <v>51</v>
      </c>
      <c r="B52" t="s">
        <v>162</v>
      </c>
      <c r="C52" t="s">
        <v>78</v>
      </c>
      <c r="E52" t="s">
        <v>20</v>
      </c>
      <c r="F52" t="s">
        <v>39</v>
      </c>
      <c r="G52" t="s">
        <v>163</v>
      </c>
      <c r="L52" t="s">
        <v>40</v>
      </c>
      <c r="M52">
        <v>7849</v>
      </c>
      <c r="N52" s="1">
        <v>45549</v>
      </c>
      <c r="O52" s="1">
        <v>45594</v>
      </c>
      <c r="P52" s="1">
        <v>45595</v>
      </c>
      <c r="Q52" t="s">
        <v>70</v>
      </c>
      <c r="R52" t="s">
        <v>94</v>
      </c>
    </row>
    <row r="53" spans="1:18">
      <c r="A53">
        <v>52</v>
      </c>
      <c r="B53" t="s">
        <v>164</v>
      </c>
      <c r="C53" t="s">
        <v>54</v>
      </c>
      <c r="E53" t="s">
        <v>20</v>
      </c>
      <c r="F53" t="s">
        <v>21</v>
      </c>
      <c r="G53" t="s">
        <v>22</v>
      </c>
      <c r="J53" t="s">
        <v>85</v>
      </c>
      <c r="K53" t="s">
        <v>85</v>
      </c>
      <c r="L53" t="s">
        <v>165</v>
      </c>
      <c r="M53">
        <v>9399</v>
      </c>
      <c r="N53" s="1">
        <v>45549</v>
      </c>
      <c r="O53" s="1">
        <v>45594</v>
      </c>
      <c r="P53" s="1">
        <v>45580</v>
      </c>
      <c r="Q53" t="s">
        <v>70</v>
      </c>
      <c r="R53" t="s">
        <v>94</v>
      </c>
    </row>
    <row r="54" spans="1:18">
      <c r="A54">
        <v>53</v>
      </c>
      <c r="B54" t="s">
        <v>166</v>
      </c>
      <c r="C54" t="s">
        <v>167</v>
      </c>
      <c r="E54" t="s">
        <v>20</v>
      </c>
      <c r="F54" t="s">
        <v>21</v>
      </c>
      <c r="G54" t="s">
        <v>55</v>
      </c>
      <c r="H54" t="s">
        <v>101</v>
      </c>
      <c r="I54">
        <v>140</v>
      </c>
      <c r="J54" t="s">
        <v>85</v>
      </c>
      <c r="L54" t="s">
        <v>168</v>
      </c>
      <c r="M54">
        <v>11817</v>
      </c>
      <c r="N54" s="1">
        <v>45549</v>
      </c>
      <c r="O54" s="1">
        <v>45594</v>
      </c>
      <c r="P54" s="1">
        <v>45580</v>
      </c>
      <c r="Q54" t="s">
        <v>70</v>
      </c>
      <c r="R54" t="s">
        <v>94</v>
      </c>
    </row>
    <row r="55" spans="1:18">
      <c r="A55">
        <v>54</v>
      </c>
      <c r="B55" t="s">
        <v>169</v>
      </c>
      <c r="C55" t="s">
        <v>143</v>
      </c>
      <c r="E55" t="s">
        <v>20</v>
      </c>
      <c r="F55" t="s">
        <v>39</v>
      </c>
      <c r="G55" t="s">
        <v>116</v>
      </c>
      <c r="L55" t="s">
        <v>170</v>
      </c>
      <c r="M55">
        <v>8349</v>
      </c>
      <c r="N55" s="1">
        <v>45549</v>
      </c>
      <c r="O55" s="1">
        <v>45594</v>
      </c>
      <c r="P55" s="1">
        <v>45584</v>
      </c>
      <c r="Q55" t="s">
        <v>70</v>
      </c>
      <c r="R55" t="s">
        <v>94</v>
      </c>
    </row>
    <row r="56" spans="1:18">
      <c r="A56">
        <v>55</v>
      </c>
      <c r="B56" t="s">
        <v>171</v>
      </c>
      <c r="C56" t="s">
        <v>172</v>
      </c>
      <c r="E56" t="s">
        <v>20</v>
      </c>
      <c r="F56" t="s">
        <v>21</v>
      </c>
      <c r="G56" t="s">
        <v>55</v>
      </c>
      <c r="H56" t="s">
        <v>92</v>
      </c>
      <c r="I56">
        <v>120</v>
      </c>
      <c r="J56" t="s">
        <v>73</v>
      </c>
      <c r="L56" t="s">
        <v>173</v>
      </c>
      <c r="M56">
        <v>17886</v>
      </c>
      <c r="N56" s="1">
        <v>45549</v>
      </c>
      <c r="O56" s="1">
        <v>45594</v>
      </c>
      <c r="P56" s="1"/>
      <c r="R56" t="s">
        <v>67</v>
      </c>
    </row>
    <row r="57" spans="1:18">
      <c r="A57">
        <v>56</v>
      </c>
      <c r="B57" t="s">
        <v>171</v>
      </c>
      <c r="C57" t="s">
        <v>172</v>
      </c>
      <c r="E57" t="s">
        <v>20</v>
      </c>
      <c r="F57" t="s">
        <v>21</v>
      </c>
      <c r="G57" t="s">
        <v>55</v>
      </c>
      <c r="H57" t="s">
        <v>92</v>
      </c>
      <c r="I57">
        <v>120</v>
      </c>
      <c r="J57" t="s">
        <v>73</v>
      </c>
      <c r="L57" t="s">
        <v>173</v>
      </c>
      <c r="M57">
        <v>17886</v>
      </c>
      <c r="N57" s="1">
        <v>45549</v>
      </c>
      <c r="O57" s="1">
        <v>45594</v>
      </c>
      <c r="P57" s="1"/>
      <c r="R57" t="s">
        <v>67</v>
      </c>
    </row>
    <row r="58" spans="1:18">
      <c r="A58">
        <v>57</v>
      </c>
      <c r="B58" t="s">
        <v>174</v>
      </c>
      <c r="C58" t="s">
        <v>91</v>
      </c>
      <c r="E58" t="s">
        <v>20</v>
      </c>
      <c r="F58" t="s">
        <v>21</v>
      </c>
      <c r="G58" t="s">
        <v>55</v>
      </c>
      <c r="H58" t="s">
        <v>101</v>
      </c>
      <c r="I58">
        <v>120</v>
      </c>
      <c r="J58" t="s">
        <v>73</v>
      </c>
      <c r="L58" t="s">
        <v>175</v>
      </c>
      <c r="M58">
        <v>10987</v>
      </c>
      <c r="N58" s="1">
        <v>45549</v>
      </c>
      <c r="O58" s="1">
        <v>45594</v>
      </c>
      <c r="P58" s="1">
        <v>45578</v>
      </c>
      <c r="Q58" t="s">
        <v>70</v>
      </c>
      <c r="R58" t="s">
        <v>94</v>
      </c>
    </row>
    <row r="59" spans="1:18">
      <c r="A59">
        <v>58</v>
      </c>
      <c r="B59" t="s">
        <v>174</v>
      </c>
      <c r="C59" t="s">
        <v>91</v>
      </c>
      <c r="E59" t="s">
        <v>20</v>
      </c>
      <c r="F59" t="s">
        <v>21</v>
      </c>
      <c r="G59" t="s">
        <v>55</v>
      </c>
      <c r="H59" t="s">
        <v>101</v>
      </c>
      <c r="I59">
        <v>120</v>
      </c>
      <c r="J59" t="s">
        <v>73</v>
      </c>
      <c r="L59" t="s">
        <v>175</v>
      </c>
      <c r="M59">
        <v>10987</v>
      </c>
      <c r="N59" s="1">
        <v>45549</v>
      </c>
      <c r="O59" s="1">
        <v>45594</v>
      </c>
      <c r="P59" s="1">
        <v>45578</v>
      </c>
      <c r="Q59" t="s">
        <v>70</v>
      </c>
      <c r="R59" t="s">
        <v>94</v>
      </c>
    </row>
    <row r="60" spans="1:18">
      <c r="A60">
        <v>59</v>
      </c>
      <c r="B60" t="s">
        <v>176</v>
      </c>
      <c r="C60" t="s">
        <v>177</v>
      </c>
      <c r="E60" t="s">
        <v>20</v>
      </c>
      <c r="F60" t="s">
        <v>39</v>
      </c>
      <c r="G60" t="s">
        <v>79</v>
      </c>
      <c r="L60" t="s">
        <v>80</v>
      </c>
      <c r="M60">
        <v>10319</v>
      </c>
      <c r="N60" s="1">
        <v>45549</v>
      </c>
      <c r="O60" s="1">
        <v>45594</v>
      </c>
      <c r="P60" s="1">
        <v>45584</v>
      </c>
      <c r="Q60" t="s">
        <v>70</v>
      </c>
      <c r="R60" t="s">
        <v>94</v>
      </c>
    </row>
    <row r="61" spans="1:18">
      <c r="A61">
        <v>60</v>
      </c>
      <c r="B61" t="s">
        <v>178</v>
      </c>
      <c r="C61" t="s">
        <v>179</v>
      </c>
      <c r="E61" t="s">
        <v>20</v>
      </c>
      <c r="F61" t="s">
        <v>21</v>
      </c>
      <c r="G61" t="s">
        <v>31</v>
      </c>
      <c r="H61" t="s">
        <v>32</v>
      </c>
      <c r="I61">
        <v>120</v>
      </c>
      <c r="J61" t="s">
        <v>43</v>
      </c>
      <c r="L61" t="s">
        <v>180</v>
      </c>
      <c r="M61">
        <v>12999</v>
      </c>
      <c r="N61" s="1">
        <v>45549</v>
      </c>
      <c r="O61" s="1">
        <v>45616</v>
      </c>
      <c r="P61" s="1">
        <v>45582</v>
      </c>
      <c r="Q61" t="s">
        <v>24</v>
      </c>
      <c r="R61" t="s">
        <v>94</v>
      </c>
    </row>
    <row r="62" spans="1:18">
      <c r="A62">
        <v>61</v>
      </c>
      <c r="B62" t="s">
        <v>181</v>
      </c>
      <c r="C62" t="s">
        <v>182</v>
      </c>
      <c r="E62" t="s">
        <v>20</v>
      </c>
      <c r="F62" t="s">
        <v>63</v>
      </c>
      <c r="G62" t="s">
        <v>47</v>
      </c>
      <c r="J62" t="s">
        <v>85</v>
      </c>
      <c r="K62" t="s">
        <v>43</v>
      </c>
      <c r="L62" t="s">
        <v>155</v>
      </c>
      <c r="M62">
        <v>21999</v>
      </c>
      <c r="N62" s="1">
        <v>45549</v>
      </c>
      <c r="O62" s="1">
        <v>45616</v>
      </c>
      <c r="P62" s="1"/>
      <c r="R62" t="s">
        <v>67</v>
      </c>
    </row>
    <row r="63" spans="1:18">
      <c r="A63">
        <v>62</v>
      </c>
      <c r="B63" t="s">
        <v>183</v>
      </c>
      <c r="C63" t="s">
        <v>143</v>
      </c>
      <c r="E63" t="s">
        <v>20</v>
      </c>
      <c r="F63" t="s">
        <v>21</v>
      </c>
      <c r="G63" t="s">
        <v>31</v>
      </c>
      <c r="H63" t="s">
        <v>42</v>
      </c>
      <c r="I63">
        <v>100</v>
      </c>
      <c r="J63" t="s">
        <v>43</v>
      </c>
      <c r="L63" t="s">
        <v>184</v>
      </c>
      <c r="M63">
        <v>12399</v>
      </c>
      <c r="N63" s="1">
        <v>45549</v>
      </c>
      <c r="O63" s="1">
        <v>45616</v>
      </c>
      <c r="P63" s="1">
        <v>45566</v>
      </c>
      <c r="Q63" t="s">
        <v>24</v>
      </c>
      <c r="R63" t="s">
        <v>94</v>
      </c>
    </row>
    <row r="64" spans="1:18">
      <c r="A64">
        <v>63</v>
      </c>
      <c r="B64" t="s">
        <v>185</v>
      </c>
      <c r="C64" t="s">
        <v>91</v>
      </c>
      <c r="E64" t="s">
        <v>20</v>
      </c>
      <c r="F64" t="s">
        <v>63</v>
      </c>
      <c r="G64" t="s">
        <v>47</v>
      </c>
      <c r="J64" t="s">
        <v>85</v>
      </c>
      <c r="K64" t="s">
        <v>43</v>
      </c>
      <c r="L64" t="s">
        <v>155</v>
      </c>
      <c r="M64">
        <v>21999</v>
      </c>
      <c r="N64" s="1">
        <v>45549</v>
      </c>
      <c r="O64" s="1">
        <v>45616</v>
      </c>
      <c r="P64" s="1">
        <v>45574</v>
      </c>
      <c r="Q64" t="s">
        <v>70</v>
      </c>
      <c r="R64" t="s">
        <v>186</v>
      </c>
    </row>
    <row r="65" spans="1:18">
      <c r="A65">
        <v>64</v>
      </c>
      <c r="B65" t="s">
        <v>187</v>
      </c>
      <c r="C65" t="s">
        <v>78</v>
      </c>
      <c r="E65" t="s">
        <v>20</v>
      </c>
      <c r="F65" t="s">
        <v>21</v>
      </c>
      <c r="G65" t="s">
        <v>31</v>
      </c>
      <c r="H65" t="s">
        <v>42</v>
      </c>
      <c r="I65">
        <v>80</v>
      </c>
      <c r="J65" t="s">
        <v>73</v>
      </c>
      <c r="L65" t="s">
        <v>188</v>
      </c>
      <c r="M65">
        <v>10999</v>
      </c>
      <c r="N65" s="1">
        <v>45549</v>
      </c>
      <c r="O65" s="1">
        <v>45616</v>
      </c>
      <c r="P65" s="1">
        <v>45581</v>
      </c>
      <c r="Q65" t="s">
        <v>70</v>
      </c>
      <c r="R65" t="s">
        <v>186</v>
      </c>
    </row>
    <row r="66" spans="1:18">
      <c r="A66">
        <v>65</v>
      </c>
      <c r="B66" t="s">
        <v>189</v>
      </c>
      <c r="C66" t="s">
        <v>190</v>
      </c>
      <c r="E66" t="s">
        <v>20</v>
      </c>
      <c r="F66" t="s">
        <v>21</v>
      </c>
      <c r="G66" t="s">
        <v>31</v>
      </c>
      <c r="H66" t="s">
        <v>32</v>
      </c>
      <c r="I66">
        <v>80</v>
      </c>
      <c r="J66" t="s">
        <v>73</v>
      </c>
      <c r="M66">
        <v>10999</v>
      </c>
      <c r="N66" s="1"/>
      <c r="O66" s="1">
        <v>45616</v>
      </c>
      <c r="P66" s="1">
        <v>45581</v>
      </c>
      <c r="Q66" t="s">
        <v>70</v>
      </c>
      <c r="R66" t="s">
        <v>186</v>
      </c>
    </row>
    <row r="67" spans="1:18">
      <c r="A67">
        <v>66</v>
      </c>
      <c r="B67" t="s">
        <v>189</v>
      </c>
      <c r="C67" t="s">
        <v>190</v>
      </c>
      <c r="E67" t="s">
        <v>20</v>
      </c>
      <c r="F67" t="s">
        <v>21</v>
      </c>
      <c r="G67" t="s">
        <v>31</v>
      </c>
      <c r="H67" t="s">
        <v>32</v>
      </c>
      <c r="I67">
        <v>80</v>
      </c>
      <c r="J67" t="s">
        <v>73</v>
      </c>
      <c r="M67">
        <v>10999</v>
      </c>
      <c r="N67" s="1"/>
      <c r="O67" s="1">
        <v>45616</v>
      </c>
      <c r="P67" s="1">
        <v>45581</v>
      </c>
      <c r="Q67" t="s">
        <v>70</v>
      </c>
      <c r="R67" t="s">
        <v>186</v>
      </c>
    </row>
    <row r="68" spans="1:18">
      <c r="A68">
        <v>67</v>
      </c>
      <c r="B68" t="s">
        <v>191</v>
      </c>
      <c r="C68" t="s">
        <v>192</v>
      </c>
      <c r="E68" t="s">
        <v>20</v>
      </c>
      <c r="F68" t="s">
        <v>63</v>
      </c>
      <c r="G68" t="s">
        <v>47</v>
      </c>
      <c r="J68" t="s">
        <v>85</v>
      </c>
      <c r="K68" t="s">
        <v>43</v>
      </c>
      <c r="M68">
        <v>21999</v>
      </c>
      <c r="N68" s="1"/>
      <c r="O68" s="1">
        <v>45616</v>
      </c>
      <c r="P68" s="1">
        <v>45584</v>
      </c>
      <c r="Q68" t="s">
        <v>70</v>
      </c>
      <c r="R68" t="s">
        <v>186</v>
      </c>
    </row>
    <row r="69" spans="1:18">
      <c r="A69">
        <v>68</v>
      </c>
      <c r="B69" t="s">
        <v>193</v>
      </c>
      <c r="C69" t="s">
        <v>112</v>
      </c>
      <c r="E69" t="s">
        <v>20</v>
      </c>
      <c r="F69" t="s">
        <v>39</v>
      </c>
      <c r="G69" t="s">
        <v>79</v>
      </c>
      <c r="M69">
        <v>7849</v>
      </c>
      <c r="N69" s="1"/>
      <c r="O69" s="1">
        <v>45595</v>
      </c>
      <c r="P69" s="1">
        <v>45610</v>
      </c>
      <c r="Q69" t="s">
        <v>24</v>
      </c>
      <c r="R69" t="s">
        <v>94</v>
      </c>
    </row>
    <row r="70" spans="1:18">
      <c r="A70">
        <v>69</v>
      </c>
      <c r="B70" t="s">
        <v>106</v>
      </c>
      <c r="C70" t="s">
        <v>194</v>
      </c>
      <c r="E70" t="s">
        <v>84</v>
      </c>
      <c r="F70" t="s">
        <v>21</v>
      </c>
      <c r="G70" t="s">
        <v>31</v>
      </c>
      <c r="H70" t="s">
        <v>32</v>
      </c>
      <c r="I70">
        <v>80</v>
      </c>
      <c r="J70" t="s">
        <v>73</v>
      </c>
      <c r="M70">
        <v>5074</v>
      </c>
      <c r="N70" s="1">
        <v>45556</v>
      </c>
      <c r="O70" s="1">
        <v>45570</v>
      </c>
      <c r="P70" s="1">
        <v>45577</v>
      </c>
      <c r="Q70" t="s">
        <v>70</v>
      </c>
      <c r="R70" t="s">
        <v>186</v>
      </c>
    </row>
    <row r="71" spans="1:18">
      <c r="A71">
        <v>70</v>
      </c>
      <c r="B71" t="s">
        <v>57</v>
      </c>
      <c r="C71" t="s">
        <v>58</v>
      </c>
      <c r="E71" t="s">
        <v>59</v>
      </c>
      <c r="F71" t="s">
        <v>21</v>
      </c>
      <c r="G71" t="s">
        <v>31</v>
      </c>
      <c r="H71" t="s">
        <v>89</v>
      </c>
      <c r="I71">
        <v>100</v>
      </c>
      <c r="J71" t="s">
        <v>195</v>
      </c>
      <c r="M71">
        <v>6250</v>
      </c>
      <c r="N71" s="1">
        <v>45558</v>
      </c>
      <c r="O71" s="1">
        <v>45573</v>
      </c>
      <c r="P71" s="1">
        <v>45582</v>
      </c>
      <c r="Q71" t="s">
        <v>70</v>
      </c>
      <c r="R71" t="s">
        <v>186</v>
      </c>
    </row>
    <row r="72" spans="1:18">
      <c r="A72">
        <v>71</v>
      </c>
      <c r="B72" t="s">
        <v>57</v>
      </c>
      <c r="C72" t="s">
        <v>58</v>
      </c>
      <c r="E72" t="s">
        <v>59</v>
      </c>
      <c r="F72" t="s">
        <v>21</v>
      </c>
      <c r="G72" t="s">
        <v>31</v>
      </c>
      <c r="H72" t="s">
        <v>89</v>
      </c>
      <c r="I72">
        <v>100</v>
      </c>
      <c r="J72" t="s">
        <v>195</v>
      </c>
      <c r="M72">
        <v>6250</v>
      </c>
      <c r="N72" s="1">
        <v>45558</v>
      </c>
      <c r="O72" s="1">
        <v>45573</v>
      </c>
      <c r="P72" s="1">
        <v>45582</v>
      </c>
      <c r="Q72" t="s">
        <v>70</v>
      </c>
      <c r="R72" t="s">
        <v>186</v>
      </c>
    </row>
    <row r="73" spans="1:18">
      <c r="A73">
        <v>72</v>
      </c>
      <c r="B73" t="s">
        <v>196</v>
      </c>
      <c r="C73" t="s">
        <v>58</v>
      </c>
      <c r="E73" t="s">
        <v>20</v>
      </c>
      <c r="F73" t="s">
        <v>21</v>
      </c>
      <c r="G73" t="s">
        <v>55</v>
      </c>
      <c r="H73" t="s">
        <v>92</v>
      </c>
      <c r="I73">
        <v>120</v>
      </c>
      <c r="J73" t="s">
        <v>73</v>
      </c>
      <c r="M73">
        <v>8943</v>
      </c>
      <c r="N73" s="1">
        <v>45561</v>
      </c>
      <c r="O73" s="1">
        <v>45606</v>
      </c>
      <c r="P73" s="1">
        <v>45575</v>
      </c>
      <c r="Q73" t="s">
        <v>70</v>
      </c>
      <c r="R73" t="s">
        <v>186</v>
      </c>
    </row>
    <row r="74" spans="1:18">
      <c r="A74">
        <v>73</v>
      </c>
      <c r="B74" t="s">
        <v>197</v>
      </c>
      <c r="C74" t="s">
        <v>198</v>
      </c>
      <c r="E74" t="s">
        <v>20</v>
      </c>
      <c r="F74" t="s">
        <v>39</v>
      </c>
      <c r="G74" t="s">
        <v>116</v>
      </c>
      <c r="M74">
        <v>8349</v>
      </c>
      <c r="N74" s="1">
        <v>45561</v>
      </c>
      <c r="O74" s="1">
        <v>45606</v>
      </c>
      <c r="P74" s="1"/>
      <c r="R74" t="s">
        <v>67</v>
      </c>
    </row>
    <row r="75" spans="1:18">
      <c r="A75">
        <v>74</v>
      </c>
      <c r="B75" t="s">
        <v>45</v>
      </c>
      <c r="C75" t="s">
        <v>199</v>
      </c>
      <c r="E75" t="s">
        <v>104</v>
      </c>
      <c r="F75" t="s">
        <v>200</v>
      </c>
      <c r="G75" t="s">
        <v>201</v>
      </c>
      <c r="K75" t="s">
        <v>202</v>
      </c>
      <c r="M75">
        <v>14950</v>
      </c>
      <c r="N75" s="1">
        <v>45561</v>
      </c>
      <c r="O75" s="1">
        <v>45579</v>
      </c>
      <c r="P75" s="1">
        <v>45578</v>
      </c>
      <c r="Q75" t="s">
        <v>70</v>
      </c>
      <c r="R75" t="s">
        <v>94</v>
      </c>
    </row>
    <row r="76" spans="1:18">
      <c r="A76">
        <v>75</v>
      </c>
      <c r="B76" t="s">
        <v>45</v>
      </c>
      <c r="E76" t="s">
        <v>104</v>
      </c>
      <c r="F76" t="s">
        <v>21</v>
      </c>
      <c r="G76" t="s">
        <v>31</v>
      </c>
      <c r="H76" t="s">
        <v>89</v>
      </c>
      <c r="I76">
        <v>100</v>
      </c>
      <c r="J76" t="s">
        <v>203</v>
      </c>
      <c r="M76">
        <v>9208</v>
      </c>
      <c r="N76" s="1">
        <v>45561</v>
      </c>
      <c r="O76" s="1">
        <v>45579</v>
      </c>
      <c r="P76" s="1"/>
      <c r="R76" t="s">
        <v>204</v>
      </c>
    </row>
    <row r="77" spans="1:18">
      <c r="A77">
        <v>76</v>
      </c>
      <c r="B77" t="s">
        <v>45</v>
      </c>
      <c r="E77" t="s">
        <v>104</v>
      </c>
      <c r="F77" t="s">
        <v>21</v>
      </c>
      <c r="G77" t="s">
        <v>55</v>
      </c>
      <c r="H77" t="s">
        <v>101</v>
      </c>
      <c r="I77">
        <v>120</v>
      </c>
      <c r="J77" t="s">
        <v>73</v>
      </c>
      <c r="M77">
        <v>7433</v>
      </c>
      <c r="N77" s="1">
        <v>45564</v>
      </c>
      <c r="O77" s="1">
        <v>45585</v>
      </c>
      <c r="P77" s="1">
        <v>45586</v>
      </c>
      <c r="Q77" t="s">
        <v>70</v>
      </c>
      <c r="R77" t="s">
        <v>94</v>
      </c>
    </row>
    <row r="78" spans="1:18">
      <c r="A78">
        <v>77</v>
      </c>
      <c r="B78" t="s">
        <v>106</v>
      </c>
      <c r="C78" t="s">
        <v>194</v>
      </c>
      <c r="E78" t="s">
        <v>84</v>
      </c>
      <c r="F78" t="s">
        <v>21</v>
      </c>
      <c r="G78" t="s">
        <v>55</v>
      </c>
      <c r="H78" t="s">
        <v>92</v>
      </c>
      <c r="I78">
        <v>120</v>
      </c>
      <c r="J78" t="s">
        <v>73</v>
      </c>
      <c r="M78">
        <v>4020</v>
      </c>
      <c r="N78" s="1">
        <v>45564</v>
      </c>
      <c r="O78" s="1">
        <v>45577</v>
      </c>
      <c r="P78" s="1">
        <v>45577</v>
      </c>
      <c r="Q78" t="s">
        <v>70</v>
      </c>
      <c r="R78" t="s">
        <v>186</v>
      </c>
    </row>
    <row r="79" spans="1:18">
      <c r="A79">
        <v>78</v>
      </c>
      <c r="B79" t="s">
        <v>205</v>
      </c>
      <c r="C79" t="s">
        <v>206</v>
      </c>
      <c r="E79" t="s">
        <v>207</v>
      </c>
      <c r="F79" t="s">
        <v>21</v>
      </c>
      <c r="G79" t="s">
        <v>31</v>
      </c>
      <c r="H79" t="s">
        <v>208</v>
      </c>
      <c r="I79">
        <v>100</v>
      </c>
      <c r="J79" t="s">
        <v>209</v>
      </c>
      <c r="M79">
        <v>8545</v>
      </c>
      <c r="N79" s="1">
        <v>45566</v>
      </c>
      <c r="O79" s="1">
        <v>45574</v>
      </c>
      <c r="P79" s="1">
        <v>45574</v>
      </c>
      <c r="Q79" t="s">
        <v>210</v>
      </c>
      <c r="R79" t="s">
        <v>94</v>
      </c>
    </row>
    <row r="80" spans="1:18">
      <c r="A80">
        <v>79</v>
      </c>
      <c r="B80" t="s">
        <v>205</v>
      </c>
      <c r="C80" t="s">
        <v>206</v>
      </c>
      <c r="E80" t="s">
        <v>207</v>
      </c>
      <c r="F80" t="s">
        <v>21</v>
      </c>
      <c r="G80" t="s">
        <v>22</v>
      </c>
      <c r="J80" t="s">
        <v>211</v>
      </c>
      <c r="K80" t="s">
        <v>212</v>
      </c>
      <c r="M80">
        <v>4600</v>
      </c>
      <c r="N80" s="1">
        <v>45566</v>
      </c>
      <c r="O80" s="1">
        <v>45574</v>
      </c>
      <c r="P80" s="1">
        <v>45574</v>
      </c>
      <c r="Q80" t="s">
        <v>210</v>
      </c>
      <c r="R80" t="s">
        <v>94</v>
      </c>
    </row>
    <row r="81" spans="1:18">
      <c r="A81">
        <v>80</v>
      </c>
      <c r="B81" t="s">
        <v>205</v>
      </c>
      <c r="C81" t="s">
        <v>206</v>
      </c>
      <c r="E81" t="s">
        <v>207</v>
      </c>
      <c r="F81" t="s">
        <v>200</v>
      </c>
      <c r="G81" t="s">
        <v>213</v>
      </c>
      <c r="J81" t="s">
        <v>85</v>
      </c>
      <c r="K81" t="s">
        <v>214</v>
      </c>
      <c r="M81">
        <v>10000</v>
      </c>
      <c r="N81" s="1">
        <v>45566</v>
      </c>
      <c r="O81" s="1">
        <v>45574</v>
      </c>
      <c r="P81" s="1">
        <v>45574</v>
      </c>
      <c r="Q81" t="s">
        <v>210</v>
      </c>
      <c r="R81" t="s">
        <v>94</v>
      </c>
    </row>
    <row r="82" spans="1:18">
      <c r="A82">
        <v>81</v>
      </c>
      <c r="B82" t="s">
        <v>205</v>
      </c>
      <c r="C82" t="s">
        <v>206</v>
      </c>
      <c r="E82" t="s">
        <v>207</v>
      </c>
      <c r="F82" t="s">
        <v>215</v>
      </c>
      <c r="J82" t="s">
        <v>85</v>
      </c>
      <c r="K82" t="s">
        <v>202</v>
      </c>
      <c r="N82" s="1">
        <v>45566</v>
      </c>
      <c r="O82" s="1">
        <v>45574</v>
      </c>
      <c r="P82" s="1">
        <v>45574</v>
      </c>
      <c r="Q82" t="s">
        <v>210</v>
      </c>
      <c r="R82" t="s">
        <v>94</v>
      </c>
    </row>
    <row r="83" spans="1:18">
      <c r="A83">
        <v>82</v>
      </c>
      <c r="B83" t="s">
        <v>216</v>
      </c>
      <c r="C83" t="s">
        <v>217</v>
      </c>
      <c r="E83" t="s">
        <v>20</v>
      </c>
      <c r="F83" t="s">
        <v>21</v>
      </c>
      <c r="G83" t="s">
        <v>22</v>
      </c>
      <c r="J83" t="s">
        <v>85</v>
      </c>
      <c r="K83" t="s">
        <v>85</v>
      </c>
      <c r="M83">
        <v>8899</v>
      </c>
      <c r="N83" s="1">
        <v>45568</v>
      </c>
      <c r="O83" s="1">
        <v>45613</v>
      </c>
      <c r="P83" s="1"/>
    </row>
    <row r="84" spans="1:18">
      <c r="A84">
        <v>83</v>
      </c>
      <c r="B84" t="s">
        <v>45</v>
      </c>
      <c r="C84" t="s">
        <v>218</v>
      </c>
      <c r="E84" t="s">
        <v>45</v>
      </c>
      <c r="F84" t="s">
        <v>219</v>
      </c>
      <c r="G84" t="s">
        <v>201</v>
      </c>
      <c r="J84" t="s">
        <v>203</v>
      </c>
      <c r="K84" t="s">
        <v>220</v>
      </c>
      <c r="M84">
        <v>14550</v>
      </c>
      <c r="N84" s="1">
        <v>45573</v>
      </c>
      <c r="O84" s="1">
        <v>45594</v>
      </c>
      <c r="P84" s="1">
        <v>45595</v>
      </c>
      <c r="Q84" t="s">
        <v>70</v>
      </c>
      <c r="R84" t="s">
        <v>94</v>
      </c>
    </row>
    <row r="85" spans="1:18">
      <c r="A85">
        <v>84</v>
      </c>
      <c r="B85" t="s">
        <v>45</v>
      </c>
      <c r="C85" t="s">
        <v>221</v>
      </c>
      <c r="E85" t="s">
        <v>104</v>
      </c>
      <c r="F85" t="s">
        <v>63</v>
      </c>
      <c r="G85" t="s">
        <v>201</v>
      </c>
      <c r="J85" t="s">
        <v>203</v>
      </c>
      <c r="K85" t="s">
        <v>220</v>
      </c>
      <c r="M85">
        <v>14550</v>
      </c>
      <c r="N85" s="1">
        <v>45572</v>
      </c>
      <c r="O85" s="1">
        <v>45594</v>
      </c>
      <c r="P85" s="1">
        <v>45580</v>
      </c>
      <c r="Q85" t="s">
        <v>70</v>
      </c>
      <c r="R85" t="s">
        <v>94</v>
      </c>
    </row>
    <row r="86" spans="1:18">
      <c r="A86">
        <v>85</v>
      </c>
      <c r="B86" t="s">
        <v>45</v>
      </c>
      <c r="E86" t="s">
        <v>45</v>
      </c>
      <c r="F86" t="s">
        <v>219</v>
      </c>
      <c r="G86" t="s">
        <v>201</v>
      </c>
      <c r="J86" t="s">
        <v>203</v>
      </c>
      <c r="K86" t="s">
        <v>202</v>
      </c>
      <c r="M86">
        <v>14550</v>
      </c>
      <c r="N86" s="1">
        <v>45575</v>
      </c>
      <c r="O86" s="1">
        <v>45596</v>
      </c>
      <c r="P86" s="1">
        <v>45598</v>
      </c>
      <c r="Q86" t="s">
        <v>70</v>
      </c>
      <c r="R86" t="s">
        <v>94</v>
      </c>
    </row>
    <row r="87" spans="1:18">
      <c r="A87">
        <v>86</v>
      </c>
      <c r="B87" t="s">
        <v>222</v>
      </c>
      <c r="C87" t="s">
        <v>154</v>
      </c>
      <c r="E87" t="s">
        <v>20</v>
      </c>
      <c r="F87" t="s">
        <v>21</v>
      </c>
      <c r="G87" t="s">
        <v>31</v>
      </c>
      <c r="H87" t="s">
        <v>223</v>
      </c>
      <c r="I87" t="s">
        <v>224</v>
      </c>
      <c r="J87" t="s">
        <v>225</v>
      </c>
      <c r="M87">
        <v>12899</v>
      </c>
      <c r="N87" s="1">
        <v>45578</v>
      </c>
      <c r="O87" s="1">
        <v>45643</v>
      </c>
      <c r="P87" s="1">
        <v>45598</v>
      </c>
      <c r="Q87" t="s">
        <v>70</v>
      </c>
      <c r="R87" t="s">
        <v>94</v>
      </c>
    </row>
    <row r="88" spans="1:18">
      <c r="A88">
        <v>87</v>
      </c>
      <c r="B88" t="s">
        <v>226</v>
      </c>
      <c r="C88" t="s">
        <v>72</v>
      </c>
      <c r="E88" t="s">
        <v>20</v>
      </c>
      <c r="F88" t="s">
        <v>21</v>
      </c>
      <c r="G88" t="s">
        <v>31</v>
      </c>
      <c r="H88" t="s">
        <v>32</v>
      </c>
      <c r="I88">
        <v>80</v>
      </c>
      <c r="J88" t="s">
        <v>73</v>
      </c>
      <c r="M88">
        <v>10499</v>
      </c>
      <c r="N88" s="1">
        <v>45581</v>
      </c>
      <c r="O88" s="1">
        <v>45645</v>
      </c>
      <c r="P88" s="1">
        <v>45586</v>
      </c>
      <c r="Q88" t="s">
        <v>70</v>
      </c>
      <c r="R88" t="s">
        <v>94</v>
      </c>
    </row>
    <row r="89" spans="1:18">
      <c r="A89">
        <v>89</v>
      </c>
      <c r="B89" t="s">
        <v>227</v>
      </c>
      <c r="C89" t="s">
        <v>228</v>
      </c>
      <c r="E89" t="s">
        <v>20</v>
      </c>
      <c r="F89" t="s">
        <v>21</v>
      </c>
      <c r="G89" t="s">
        <v>31</v>
      </c>
      <c r="H89" t="s">
        <v>42</v>
      </c>
      <c r="I89" t="s">
        <v>229</v>
      </c>
      <c r="J89" t="s">
        <v>225</v>
      </c>
      <c r="M89">
        <v>12899</v>
      </c>
      <c r="N89" s="1">
        <v>45582</v>
      </c>
      <c r="O89" s="1">
        <v>45648</v>
      </c>
      <c r="P89" s="1">
        <v>45629</v>
      </c>
      <c r="Q89" t="s">
        <v>24</v>
      </c>
      <c r="R89" t="s">
        <v>186</v>
      </c>
    </row>
    <row r="90" spans="1:18">
      <c r="A90">
        <v>90</v>
      </c>
      <c r="B90" t="s">
        <v>230</v>
      </c>
      <c r="C90" t="s">
        <v>231</v>
      </c>
      <c r="D90">
        <v>1211691428</v>
      </c>
      <c r="E90" t="s">
        <v>232</v>
      </c>
      <c r="F90" t="s">
        <v>21</v>
      </c>
      <c r="G90" t="s">
        <v>55</v>
      </c>
      <c r="H90" t="s">
        <v>233</v>
      </c>
      <c r="I90">
        <v>140</v>
      </c>
      <c r="J90" t="s">
        <v>202</v>
      </c>
      <c r="K90" t="s">
        <v>234</v>
      </c>
      <c r="M90">
        <v>5135</v>
      </c>
      <c r="N90" s="1">
        <v>45585</v>
      </c>
      <c r="O90" s="1">
        <v>45613</v>
      </c>
      <c r="P90" s="1">
        <v>45610</v>
      </c>
      <c r="Q90" t="s">
        <v>70</v>
      </c>
      <c r="R90" t="s">
        <v>94</v>
      </c>
    </row>
    <row r="91" spans="1:18">
      <c r="A91">
        <v>91</v>
      </c>
      <c r="B91" t="s">
        <v>45</v>
      </c>
      <c r="C91" t="s">
        <v>198</v>
      </c>
      <c r="E91" t="s">
        <v>104</v>
      </c>
      <c r="F91" t="s">
        <v>21</v>
      </c>
      <c r="G91" t="s">
        <v>31</v>
      </c>
      <c r="H91" t="s">
        <v>235</v>
      </c>
      <c r="I91">
        <v>100</v>
      </c>
      <c r="J91" t="s">
        <v>236</v>
      </c>
      <c r="M91">
        <v>12778</v>
      </c>
      <c r="N91" s="1">
        <v>45587</v>
      </c>
      <c r="O91" s="1">
        <v>45608</v>
      </c>
      <c r="P91" s="1">
        <v>45614</v>
      </c>
      <c r="Q91" t="s">
        <v>70</v>
      </c>
      <c r="R91" t="s">
        <v>94</v>
      </c>
    </row>
    <row r="92" spans="1:18">
      <c r="A92">
        <v>92</v>
      </c>
      <c r="B92" t="s">
        <v>45</v>
      </c>
      <c r="C92" t="s">
        <v>198</v>
      </c>
      <c r="E92" t="s">
        <v>104</v>
      </c>
      <c r="F92" t="s">
        <v>21</v>
      </c>
      <c r="G92" t="s">
        <v>31</v>
      </c>
      <c r="H92" t="s">
        <v>235</v>
      </c>
      <c r="I92">
        <v>100</v>
      </c>
      <c r="J92" t="s">
        <v>236</v>
      </c>
      <c r="M92">
        <v>12778</v>
      </c>
      <c r="N92" s="1">
        <v>45587</v>
      </c>
      <c r="O92" s="1">
        <v>45608</v>
      </c>
      <c r="P92" s="1">
        <v>45614</v>
      </c>
      <c r="Q92" t="s">
        <v>70</v>
      </c>
      <c r="R92" t="s">
        <v>94</v>
      </c>
    </row>
    <row r="93" spans="1:18">
      <c r="A93">
        <v>93</v>
      </c>
      <c r="B93" t="s">
        <v>106</v>
      </c>
      <c r="C93" t="s">
        <v>237</v>
      </c>
      <c r="E93" t="s">
        <v>84</v>
      </c>
      <c r="F93" t="s">
        <v>21</v>
      </c>
      <c r="G93" t="s">
        <v>31</v>
      </c>
      <c r="H93" t="s">
        <v>235</v>
      </c>
      <c r="I93">
        <v>100</v>
      </c>
      <c r="J93" t="s">
        <v>236</v>
      </c>
      <c r="M93">
        <v>8545</v>
      </c>
      <c r="N93" s="1">
        <v>45587</v>
      </c>
      <c r="O93" s="1"/>
      <c r="P93" s="1"/>
      <c r="R93" t="s">
        <v>238</v>
      </c>
    </row>
    <row r="94" spans="1:18">
      <c r="A94">
        <v>94</v>
      </c>
      <c r="B94" t="s">
        <v>239</v>
      </c>
      <c r="C94" t="s">
        <v>240</v>
      </c>
      <c r="E94" t="s">
        <v>20</v>
      </c>
      <c r="F94" t="s">
        <v>21</v>
      </c>
      <c r="G94" t="s">
        <v>55</v>
      </c>
      <c r="H94" t="s">
        <v>92</v>
      </c>
      <c r="I94">
        <v>120</v>
      </c>
      <c r="J94" t="s">
        <v>73</v>
      </c>
      <c r="M94">
        <v>8943</v>
      </c>
      <c r="N94" s="1">
        <v>45586</v>
      </c>
      <c r="O94" s="1">
        <v>45610</v>
      </c>
      <c r="P94" s="1">
        <v>45614</v>
      </c>
      <c r="Q94" t="s">
        <v>70</v>
      </c>
      <c r="R94" t="s">
        <v>94</v>
      </c>
    </row>
    <row r="95" spans="1:18">
      <c r="A95">
        <v>95</v>
      </c>
      <c r="B95" t="s">
        <v>45</v>
      </c>
      <c r="E95" t="s">
        <v>104</v>
      </c>
      <c r="F95" t="s">
        <v>200</v>
      </c>
      <c r="G95" t="s">
        <v>201</v>
      </c>
      <c r="J95" t="s">
        <v>85</v>
      </c>
      <c r="M95">
        <v>15516</v>
      </c>
      <c r="N95" s="1">
        <v>45589</v>
      </c>
      <c r="O95" s="1">
        <v>45610</v>
      </c>
      <c r="P95" s="1">
        <v>45595</v>
      </c>
      <c r="Q95" t="s">
        <v>70</v>
      </c>
      <c r="R95" t="s">
        <v>94</v>
      </c>
    </row>
    <row r="96" spans="1:18">
      <c r="A96">
        <v>96</v>
      </c>
      <c r="B96" t="s">
        <v>45</v>
      </c>
      <c r="E96" t="s">
        <v>104</v>
      </c>
      <c r="F96" t="s">
        <v>21</v>
      </c>
      <c r="G96" t="s">
        <v>31</v>
      </c>
      <c r="H96" t="s">
        <v>89</v>
      </c>
      <c r="I96">
        <v>100</v>
      </c>
      <c r="J96" t="s">
        <v>85</v>
      </c>
      <c r="M96">
        <v>10045</v>
      </c>
      <c r="N96" s="1">
        <v>45591</v>
      </c>
      <c r="O96" s="1">
        <v>45612</v>
      </c>
      <c r="P96" s="1"/>
      <c r="R96" t="s">
        <v>128</v>
      </c>
    </row>
    <row r="97" spans="1:18">
      <c r="A97">
        <v>97</v>
      </c>
      <c r="B97" t="s">
        <v>174</v>
      </c>
      <c r="C97" t="s">
        <v>241</v>
      </c>
      <c r="E97" t="s">
        <v>20</v>
      </c>
      <c r="F97" t="s">
        <v>21</v>
      </c>
      <c r="G97" t="s">
        <v>31</v>
      </c>
      <c r="H97" t="s">
        <v>89</v>
      </c>
      <c r="I97">
        <v>90</v>
      </c>
      <c r="J97" t="s">
        <v>85</v>
      </c>
      <c r="M97">
        <v>11649</v>
      </c>
      <c r="N97" s="1">
        <v>45591</v>
      </c>
      <c r="O97" s="1">
        <v>45606</v>
      </c>
      <c r="P97" s="1">
        <v>45614</v>
      </c>
      <c r="Q97" t="s">
        <v>70</v>
      </c>
      <c r="R97" t="s">
        <v>94</v>
      </c>
    </row>
    <row r="98" spans="1:18">
      <c r="A98">
        <v>98</v>
      </c>
      <c r="B98" t="s">
        <v>174</v>
      </c>
      <c r="C98" t="s">
        <v>241</v>
      </c>
      <c r="E98" t="s">
        <v>20</v>
      </c>
      <c r="F98" t="s">
        <v>21</v>
      </c>
      <c r="G98" t="s">
        <v>31</v>
      </c>
      <c r="H98" t="s">
        <v>89</v>
      </c>
      <c r="I98">
        <v>90</v>
      </c>
      <c r="J98" t="s">
        <v>85</v>
      </c>
      <c r="M98">
        <v>11649</v>
      </c>
      <c r="N98" s="1">
        <v>45591</v>
      </c>
      <c r="O98" s="1">
        <v>45606</v>
      </c>
      <c r="P98" s="1">
        <v>45614</v>
      </c>
      <c r="Q98" t="s">
        <v>70</v>
      </c>
      <c r="R98" t="s">
        <v>94</v>
      </c>
    </row>
    <row r="99" spans="1:18">
      <c r="A99">
        <v>99</v>
      </c>
      <c r="B99" t="s">
        <v>242</v>
      </c>
      <c r="C99" t="s">
        <v>99</v>
      </c>
      <c r="E99" t="s">
        <v>243</v>
      </c>
      <c r="F99" t="s">
        <v>21</v>
      </c>
      <c r="G99" t="s">
        <v>55</v>
      </c>
      <c r="H99" t="s">
        <v>101</v>
      </c>
      <c r="I99">
        <v>100</v>
      </c>
      <c r="J99" t="s">
        <v>73</v>
      </c>
      <c r="N99" s="1">
        <v>45593</v>
      </c>
      <c r="O99" s="1">
        <v>45607</v>
      </c>
      <c r="P99" s="1">
        <v>45617</v>
      </c>
      <c r="Q99" t="s">
        <v>70</v>
      </c>
      <c r="R99" t="s">
        <v>94</v>
      </c>
    </row>
    <row r="100" spans="1:18">
      <c r="A100">
        <v>100</v>
      </c>
      <c r="B100" t="s">
        <v>242</v>
      </c>
      <c r="C100" t="s">
        <v>99</v>
      </c>
      <c r="E100" t="s">
        <v>243</v>
      </c>
      <c r="F100" t="s">
        <v>21</v>
      </c>
      <c r="G100" t="s">
        <v>55</v>
      </c>
      <c r="H100" t="s">
        <v>101</v>
      </c>
      <c r="I100">
        <v>120</v>
      </c>
      <c r="J100" t="s">
        <v>73</v>
      </c>
      <c r="N100" s="1">
        <v>45593</v>
      </c>
      <c r="O100" s="1">
        <v>45607</v>
      </c>
      <c r="P100" s="1">
        <v>45617</v>
      </c>
      <c r="Q100" t="s">
        <v>70</v>
      </c>
      <c r="R100" t="s">
        <v>94</v>
      </c>
    </row>
    <row r="101" spans="1:18">
      <c r="A101">
        <v>101</v>
      </c>
      <c r="B101" t="s">
        <v>244</v>
      </c>
      <c r="C101" t="s">
        <v>245</v>
      </c>
      <c r="E101" t="s">
        <v>20</v>
      </c>
      <c r="F101" t="s">
        <v>21</v>
      </c>
      <c r="G101" t="s">
        <v>31</v>
      </c>
      <c r="H101" t="s">
        <v>32</v>
      </c>
      <c r="I101">
        <v>80</v>
      </c>
      <c r="J101" t="s">
        <v>73</v>
      </c>
      <c r="M101">
        <v>12099</v>
      </c>
      <c r="N101" s="1">
        <v>45607</v>
      </c>
      <c r="O101" s="1">
        <v>45622</v>
      </c>
      <c r="P101" s="1">
        <v>45623</v>
      </c>
      <c r="Q101" t="s">
        <v>70</v>
      </c>
      <c r="R101" t="s">
        <v>94</v>
      </c>
    </row>
    <row r="102" spans="1:18">
      <c r="A102">
        <v>102</v>
      </c>
      <c r="B102" t="s">
        <v>104</v>
      </c>
      <c r="C102" t="s">
        <v>218</v>
      </c>
      <c r="E102" t="s">
        <v>104</v>
      </c>
      <c r="F102" t="s">
        <v>200</v>
      </c>
      <c r="G102" t="s">
        <v>201</v>
      </c>
      <c r="H102" t="s">
        <v>246</v>
      </c>
      <c r="J102" t="s">
        <v>203</v>
      </c>
      <c r="K102" t="s">
        <v>247</v>
      </c>
      <c r="M102">
        <v>15872</v>
      </c>
      <c r="N102" s="1">
        <v>45604</v>
      </c>
      <c r="O102" s="1">
        <v>-619379</v>
      </c>
      <c r="P102" s="1">
        <v>45610</v>
      </c>
      <c r="Q102" t="s">
        <v>70</v>
      </c>
      <c r="R102" t="s">
        <v>94</v>
      </c>
    </row>
    <row r="103" spans="1:18">
      <c r="A103">
        <v>103</v>
      </c>
      <c r="B103" t="s">
        <v>248</v>
      </c>
      <c r="C103" t="s">
        <v>50</v>
      </c>
      <c r="E103" t="s">
        <v>248</v>
      </c>
      <c r="F103" t="s">
        <v>21</v>
      </c>
      <c r="G103" t="s">
        <v>55</v>
      </c>
      <c r="H103" t="s">
        <v>92</v>
      </c>
      <c r="I103">
        <v>120</v>
      </c>
      <c r="J103" t="s">
        <v>73</v>
      </c>
      <c r="M103">
        <v>4520</v>
      </c>
      <c r="N103" s="1">
        <v>45606</v>
      </c>
      <c r="O103" s="1">
        <v>45618</v>
      </c>
      <c r="P103" s="1">
        <v>45617</v>
      </c>
      <c r="Q103" t="s">
        <v>70</v>
      </c>
      <c r="R103" t="s">
        <v>94</v>
      </c>
    </row>
    <row r="104" spans="1:18">
      <c r="A104">
        <v>104</v>
      </c>
      <c r="B104" t="s">
        <v>106</v>
      </c>
      <c r="C104" t="s">
        <v>194</v>
      </c>
      <c r="E104" t="s">
        <v>84</v>
      </c>
      <c r="F104" t="s">
        <v>21</v>
      </c>
      <c r="G104" t="s">
        <v>31</v>
      </c>
      <c r="H104" t="s">
        <v>89</v>
      </c>
      <c r="I104">
        <v>90</v>
      </c>
      <c r="J104" t="s">
        <v>85</v>
      </c>
      <c r="M104">
        <v>5766</v>
      </c>
      <c r="N104" s="1">
        <v>45608</v>
      </c>
      <c r="O104" s="1">
        <v>45622</v>
      </c>
      <c r="P104" s="1">
        <v>45621</v>
      </c>
      <c r="Q104" t="s">
        <v>70</v>
      </c>
      <c r="R104" t="s">
        <v>94</v>
      </c>
    </row>
    <row r="105" spans="1:18">
      <c r="A105">
        <v>105</v>
      </c>
      <c r="B105" t="s">
        <v>249</v>
      </c>
      <c r="C105" t="s">
        <v>99</v>
      </c>
      <c r="E105" t="s">
        <v>20</v>
      </c>
      <c r="F105" t="s">
        <v>21</v>
      </c>
      <c r="G105" t="s">
        <v>55</v>
      </c>
      <c r="H105" t="s">
        <v>92</v>
      </c>
      <c r="I105">
        <v>160</v>
      </c>
      <c r="J105" t="s">
        <v>151</v>
      </c>
      <c r="M105">
        <v>11395</v>
      </c>
      <c r="N105" s="1">
        <v>45608</v>
      </c>
      <c r="O105" s="1">
        <v>45620</v>
      </c>
      <c r="P105" s="1">
        <v>45623</v>
      </c>
      <c r="Q105" t="s">
        <v>70</v>
      </c>
      <c r="R105" t="s">
        <v>94</v>
      </c>
    </row>
    <row r="106" spans="1:18">
      <c r="A106">
        <v>106</v>
      </c>
      <c r="B106" t="s">
        <v>250</v>
      </c>
      <c r="C106" t="s">
        <v>50</v>
      </c>
      <c r="E106" t="s">
        <v>20</v>
      </c>
      <c r="F106" t="s">
        <v>21</v>
      </c>
      <c r="G106" t="s">
        <v>31</v>
      </c>
      <c r="H106" t="s">
        <v>251</v>
      </c>
      <c r="I106">
        <v>80</v>
      </c>
      <c r="J106" t="s">
        <v>73</v>
      </c>
      <c r="M106">
        <v>12919</v>
      </c>
      <c r="N106" s="1">
        <v>45610</v>
      </c>
      <c r="O106" s="1">
        <v>45626</v>
      </c>
      <c r="P106" s="1">
        <v>45623</v>
      </c>
      <c r="Q106" t="s">
        <v>70</v>
      </c>
      <c r="R106" t="s">
        <v>94</v>
      </c>
    </row>
    <row r="107" spans="1:18">
      <c r="A107">
        <v>107</v>
      </c>
      <c r="B107" t="s">
        <v>106</v>
      </c>
      <c r="C107" t="s">
        <v>194</v>
      </c>
      <c r="E107" t="s">
        <v>84</v>
      </c>
      <c r="F107" t="s">
        <v>252</v>
      </c>
      <c r="G107" t="s">
        <v>31</v>
      </c>
      <c r="H107" t="s">
        <v>42</v>
      </c>
      <c r="I107">
        <v>120</v>
      </c>
      <c r="J107" t="s">
        <v>43</v>
      </c>
      <c r="M107">
        <v>6376</v>
      </c>
      <c r="N107" s="1">
        <v>45610</v>
      </c>
      <c r="O107" s="1">
        <v>45623</v>
      </c>
      <c r="P107" s="1">
        <v>45621</v>
      </c>
      <c r="Q107" t="s">
        <v>70</v>
      </c>
      <c r="R107" t="s">
        <v>94</v>
      </c>
    </row>
    <row r="108" spans="1:18">
      <c r="A108">
        <v>108</v>
      </c>
      <c r="B108" t="s">
        <v>106</v>
      </c>
      <c r="C108" t="s">
        <v>253</v>
      </c>
      <c r="E108" t="s">
        <v>84</v>
      </c>
      <c r="F108" t="s">
        <v>21</v>
      </c>
      <c r="G108" t="s">
        <v>254</v>
      </c>
      <c r="H108" t="s">
        <v>42</v>
      </c>
      <c r="I108">
        <v>90</v>
      </c>
      <c r="J108" t="s">
        <v>85</v>
      </c>
      <c r="M108">
        <v>5294</v>
      </c>
      <c r="N108" s="1">
        <v>45610</v>
      </c>
      <c r="O108" s="1">
        <v>45623</v>
      </c>
      <c r="P108" s="1">
        <v>45621</v>
      </c>
      <c r="Q108" t="s">
        <v>70</v>
      </c>
      <c r="R108" t="s">
        <v>94</v>
      </c>
    </row>
    <row r="109" spans="1:18">
      <c r="A109">
        <v>109</v>
      </c>
      <c r="B109" t="s">
        <v>255</v>
      </c>
      <c r="C109" t="s">
        <v>54</v>
      </c>
      <c r="D109">
        <v>1277038843</v>
      </c>
      <c r="E109" t="s">
        <v>256</v>
      </c>
      <c r="F109" t="s">
        <v>252</v>
      </c>
      <c r="G109" t="s">
        <v>254</v>
      </c>
      <c r="H109" t="s">
        <v>257</v>
      </c>
      <c r="I109">
        <v>80</v>
      </c>
      <c r="J109" t="s">
        <v>73</v>
      </c>
      <c r="M109">
        <v>7396</v>
      </c>
      <c r="N109" s="1">
        <v>45613</v>
      </c>
      <c r="O109" s="1">
        <v>45624</v>
      </c>
      <c r="P109" s="1">
        <v>45622</v>
      </c>
      <c r="Q109" t="s">
        <v>70</v>
      </c>
      <c r="R109" t="s">
        <v>94</v>
      </c>
    </row>
    <row r="110" spans="1:18">
      <c r="A110">
        <v>110</v>
      </c>
      <c r="B110" t="s">
        <v>174</v>
      </c>
      <c r="C110" t="s">
        <v>258</v>
      </c>
      <c r="E110" t="s">
        <v>20</v>
      </c>
      <c r="F110" t="s">
        <v>21</v>
      </c>
      <c r="G110" t="s">
        <v>31</v>
      </c>
      <c r="H110" t="s">
        <v>89</v>
      </c>
      <c r="I110">
        <v>90</v>
      </c>
      <c r="J110" t="s">
        <v>85</v>
      </c>
      <c r="M110">
        <v>13439</v>
      </c>
      <c r="N110" s="1">
        <v>45616</v>
      </c>
      <c r="O110" s="1">
        <v>45631</v>
      </c>
      <c r="P110" s="1">
        <v>45622</v>
      </c>
      <c r="Q110" t="s">
        <v>70</v>
      </c>
      <c r="R110" t="s">
        <v>94</v>
      </c>
    </row>
    <row r="111" spans="1:18">
      <c r="A111">
        <v>111</v>
      </c>
      <c r="B111" t="s">
        <v>57</v>
      </c>
      <c r="C111" t="s">
        <v>68</v>
      </c>
      <c r="E111" t="s">
        <v>57</v>
      </c>
      <c r="F111" t="s">
        <v>21</v>
      </c>
      <c r="G111" t="s">
        <v>259</v>
      </c>
      <c r="H111" t="s">
        <v>260</v>
      </c>
      <c r="I111">
        <v>160</v>
      </c>
      <c r="J111" t="s">
        <v>85</v>
      </c>
      <c r="M111">
        <v>5100</v>
      </c>
      <c r="N111" s="1">
        <v>45610</v>
      </c>
      <c r="O111" s="1">
        <v>45634</v>
      </c>
      <c r="P111" s="1"/>
    </row>
    <row r="112" spans="1:18">
      <c r="A112">
        <v>112</v>
      </c>
      <c r="B112" t="s">
        <v>261</v>
      </c>
      <c r="C112" t="s">
        <v>72</v>
      </c>
      <c r="E112" t="s">
        <v>262</v>
      </c>
      <c r="F112" t="s">
        <v>252</v>
      </c>
      <c r="G112" t="s">
        <v>55</v>
      </c>
      <c r="H112" t="s">
        <v>263</v>
      </c>
      <c r="I112">
        <v>160</v>
      </c>
      <c r="J112" t="s">
        <v>133</v>
      </c>
      <c r="K112" t="s">
        <v>73</v>
      </c>
      <c r="N112" s="1">
        <v>45618</v>
      </c>
      <c r="O112" s="1">
        <v>45628</v>
      </c>
      <c r="P112" s="1">
        <v>45623</v>
      </c>
      <c r="Q112" t="s">
        <v>70</v>
      </c>
      <c r="R112" t="s">
        <v>94</v>
      </c>
    </row>
    <row r="113" spans="1:18">
      <c r="A113">
        <v>113</v>
      </c>
      <c r="B113" t="s">
        <v>264</v>
      </c>
      <c r="C113" t="s">
        <v>265</v>
      </c>
      <c r="E113" t="s">
        <v>20</v>
      </c>
      <c r="F113" t="s">
        <v>21</v>
      </c>
      <c r="G113" t="s">
        <v>259</v>
      </c>
      <c r="H113" t="s">
        <v>266</v>
      </c>
      <c r="I113">
        <v>120</v>
      </c>
      <c r="J113" t="s">
        <v>43</v>
      </c>
      <c r="M113">
        <v>10885</v>
      </c>
      <c r="N113" s="1">
        <v>45620</v>
      </c>
      <c r="O113" s="1">
        <v>45631</v>
      </c>
      <c r="P113" s="1">
        <v>45636</v>
      </c>
      <c r="Q113" t="s">
        <v>70</v>
      </c>
      <c r="R113" t="s">
        <v>94</v>
      </c>
    </row>
    <row r="114" spans="1:18">
      <c r="A114">
        <v>114</v>
      </c>
      <c r="B114" t="s">
        <v>57</v>
      </c>
      <c r="C114" t="s">
        <v>68</v>
      </c>
      <c r="E114" t="s">
        <v>59</v>
      </c>
      <c r="F114" t="s">
        <v>200</v>
      </c>
      <c r="G114" t="s">
        <v>267</v>
      </c>
      <c r="H114" t="s">
        <v>267</v>
      </c>
      <c r="M114">
        <v>6000</v>
      </c>
      <c r="N114" s="1">
        <v>45615</v>
      </c>
      <c r="O114" s="1">
        <v>45631</v>
      </c>
      <c r="P114" s="1">
        <v>45616</v>
      </c>
      <c r="Q114" t="s">
        <v>268</v>
      </c>
      <c r="R114" t="s">
        <v>94</v>
      </c>
    </row>
    <row r="115" spans="1:18">
      <c r="A115">
        <v>115</v>
      </c>
      <c r="B115" t="s">
        <v>269</v>
      </c>
      <c r="C115" t="s">
        <v>270</v>
      </c>
      <c r="E115" t="s">
        <v>20</v>
      </c>
      <c r="F115" t="s">
        <v>271</v>
      </c>
      <c r="H115" t="s">
        <v>272</v>
      </c>
      <c r="M115">
        <v>8449</v>
      </c>
      <c r="N115" s="1">
        <v>45623</v>
      </c>
      <c r="O115" s="1">
        <v>45636</v>
      </c>
      <c r="P115" s="1">
        <v>45649</v>
      </c>
      <c r="Q115" t="s">
        <v>24</v>
      </c>
      <c r="R115" t="s">
        <v>94</v>
      </c>
    </row>
    <row r="116" spans="1:18">
      <c r="A116">
        <v>116</v>
      </c>
      <c r="B116" t="s">
        <v>273</v>
      </c>
      <c r="C116" t="s">
        <v>88</v>
      </c>
      <c r="E116" t="s">
        <v>20</v>
      </c>
      <c r="F116" t="s">
        <v>271</v>
      </c>
      <c r="G116" t="s">
        <v>274</v>
      </c>
      <c r="H116" t="s">
        <v>275</v>
      </c>
      <c r="J116" t="s">
        <v>73</v>
      </c>
      <c r="K116" t="s">
        <v>276</v>
      </c>
      <c r="M116">
        <v>10249</v>
      </c>
      <c r="N116" s="1">
        <v>45623</v>
      </c>
      <c r="O116" s="1">
        <v>45636</v>
      </c>
      <c r="P116" s="1">
        <v>45645</v>
      </c>
      <c r="Q116" t="s">
        <v>70</v>
      </c>
      <c r="R116" t="s">
        <v>94</v>
      </c>
    </row>
    <row r="117" spans="1:18">
      <c r="A117">
        <v>117</v>
      </c>
      <c r="B117" t="s">
        <v>277</v>
      </c>
      <c r="C117" t="s">
        <v>278</v>
      </c>
      <c r="E117" t="s">
        <v>20</v>
      </c>
      <c r="F117" t="s">
        <v>21</v>
      </c>
      <c r="G117" t="s">
        <v>31</v>
      </c>
      <c r="H117" t="s">
        <v>32</v>
      </c>
      <c r="I117">
        <v>100</v>
      </c>
      <c r="J117" t="s">
        <v>85</v>
      </c>
      <c r="M117">
        <v>14905</v>
      </c>
      <c r="N117" s="1">
        <v>45625</v>
      </c>
      <c r="O117" s="1">
        <v>45641</v>
      </c>
      <c r="P117" s="1"/>
      <c r="Q117" t="s">
        <v>279</v>
      </c>
      <c r="R117" t="s">
        <v>128</v>
      </c>
    </row>
    <row r="118" spans="1:18">
      <c r="A118">
        <v>118</v>
      </c>
      <c r="B118" t="s">
        <v>280</v>
      </c>
      <c r="C118" t="s">
        <v>91</v>
      </c>
      <c r="E118" t="s">
        <v>20</v>
      </c>
      <c r="F118" t="s">
        <v>281</v>
      </c>
      <c r="G118" t="s">
        <v>274</v>
      </c>
      <c r="H118" t="s">
        <v>275</v>
      </c>
      <c r="J118" t="s">
        <v>203</v>
      </c>
      <c r="K118" t="s">
        <v>282</v>
      </c>
      <c r="M118">
        <v>10249</v>
      </c>
      <c r="N118" s="1">
        <v>45626</v>
      </c>
      <c r="O118" s="1">
        <v>45638</v>
      </c>
      <c r="P118" s="1"/>
      <c r="R118" t="s">
        <v>128</v>
      </c>
    </row>
    <row r="119" spans="1:18">
      <c r="A119">
        <v>119</v>
      </c>
      <c r="B119" t="s">
        <v>283</v>
      </c>
      <c r="C119" t="s">
        <v>91</v>
      </c>
      <c r="E119" t="s">
        <v>284</v>
      </c>
      <c r="F119" t="s">
        <v>281</v>
      </c>
      <c r="G119" t="s">
        <v>116</v>
      </c>
      <c r="J119" t="s">
        <v>85</v>
      </c>
      <c r="K119" t="s">
        <v>285</v>
      </c>
      <c r="M119">
        <v>9029</v>
      </c>
      <c r="N119" s="1">
        <v>45626</v>
      </c>
      <c r="O119" s="1">
        <v>45638</v>
      </c>
      <c r="P119" s="1"/>
      <c r="R119" t="s">
        <v>128</v>
      </c>
    </row>
    <row r="120" spans="1:18">
      <c r="A120">
        <v>120</v>
      </c>
      <c r="B120" t="s">
        <v>286</v>
      </c>
      <c r="C120" t="s">
        <v>112</v>
      </c>
      <c r="E120" t="s">
        <v>284</v>
      </c>
      <c r="F120" t="s">
        <v>271</v>
      </c>
      <c r="G120" t="s">
        <v>287</v>
      </c>
      <c r="J120" t="s">
        <v>203</v>
      </c>
      <c r="K120" t="s">
        <v>288</v>
      </c>
      <c r="M120">
        <v>9029</v>
      </c>
      <c r="N120" s="1">
        <v>45626</v>
      </c>
      <c r="O120" s="1">
        <v>45638</v>
      </c>
      <c r="P120" s="1"/>
    </row>
    <row r="121" spans="1:18">
      <c r="A121">
        <v>121</v>
      </c>
      <c r="B121" t="s">
        <v>289</v>
      </c>
      <c r="C121" t="s">
        <v>290</v>
      </c>
      <c r="E121" t="s">
        <v>20</v>
      </c>
      <c r="F121" t="s">
        <v>21</v>
      </c>
      <c r="G121" t="s">
        <v>254</v>
      </c>
      <c r="H121" t="s">
        <v>42</v>
      </c>
      <c r="I121">
        <v>80</v>
      </c>
      <c r="J121" t="s">
        <v>73</v>
      </c>
      <c r="M121">
        <v>12099</v>
      </c>
      <c r="N121" s="1">
        <v>45628</v>
      </c>
      <c r="O121" s="1">
        <v>45643</v>
      </c>
      <c r="P121" s="1"/>
      <c r="R121" t="s">
        <v>128</v>
      </c>
    </row>
    <row r="122" spans="1:18">
      <c r="A122">
        <v>122</v>
      </c>
      <c r="B122" t="s">
        <v>106</v>
      </c>
      <c r="C122" t="s">
        <v>194</v>
      </c>
      <c r="E122" t="s">
        <v>84</v>
      </c>
      <c r="F122" t="s">
        <v>21</v>
      </c>
      <c r="G122" t="s">
        <v>254</v>
      </c>
      <c r="H122" t="s">
        <v>257</v>
      </c>
      <c r="I122">
        <v>90</v>
      </c>
      <c r="J122" t="s">
        <v>33</v>
      </c>
      <c r="M122">
        <v>5217</v>
      </c>
      <c r="N122" s="1">
        <v>45627</v>
      </c>
      <c r="O122" s="1">
        <v>45640</v>
      </c>
      <c r="P122" s="1">
        <v>45636</v>
      </c>
      <c r="Q122" t="s">
        <v>70</v>
      </c>
      <c r="R122" t="s">
        <v>94</v>
      </c>
    </row>
    <row r="123" spans="1:18">
      <c r="A123">
        <v>123</v>
      </c>
      <c r="B123" t="s">
        <v>291</v>
      </c>
      <c r="C123" t="s">
        <v>177</v>
      </c>
      <c r="E123" t="s">
        <v>20</v>
      </c>
      <c r="F123" t="s">
        <v>252</v>
      </c>
      <c r="G123" t="s">
        <v>22</v>
      </c>
      <c r="J123" t="s">
        <v>85</v>
      </c>
      <c r="K123" t="s">
        <v>85</v>
      </c>
      <c r="M123">
        <v>10249</v>
      </c>
      <c r="N123" s="1">
        <v>45630</v>
      </c>
      <c r="O123" s="1">
        <v>45640</v>
      </c>
      <c r="P123" s="1">
        <v>45645</v>
      </c>
      <c r="Q123" t="s">
        <v>70</v>
      </c>
      <c r="R123" t="s">
        <v>94</v>
      </c>
    </row>
    <row r="124" spans="1:18">
      <c r="A124">
        <v>124</v>
      </c>
      <c r="B124" t="s">
        <v>292</v>
      </c>
      <c r="C124" t="s">
        <v>293</v>
      </c>
      <c r="E124" t="s">
        <v>104</v>
      </c>
      <c r="F124" t="s">
        <v>21</v>
      </c>
      <c r="G124" t="s">
        <v>31</v>
      </c>
      <c r="H124" t="s">
        <v>89</v>
      </c>
      <c r="J124" t="s">
        <v>85</v>
      </c>
      <c r="M124">
        <v>10445</v>
      </c>
      <c r="N124" s="1">
        <v>45635</v>
      </c>
      <c r="O124" s="1">
        <v>45657</v>
      </c>
      <c r="P124" s="1">
        <v>45638</v>
      </c>
      <c r="Q124" t="s">
        <v>70</v>
      </c>
      <c r="R124" t="s">
        <v>94</v>
      </c>
    </row>
    <row r="125" spans="1:18">
      <c r="A125">
        <v>125</v>
      </c>
      <c r="B125" t="s">
        <v>294</v>
      </c>
      <c r="C125" t="s">
        <v>91</v>
      </c>
      <c r="E125" t="s">
        <v>20</v>
      </c>
      <c r="F125" t="s">
        <v>271</v>
      </c>
      <c r="G125" t="s">
        <v>295</v>
      </c>
      <c r="H125" t="s">
        <v>275</v>
      </c>
      <c r="J125" t="s">
        <v>203</v>
      </c>
      <c r="K125" t="s">
        <v>282</v>
      </c>
      <c r="M125">
        <v>11199</v>
      </c>
      <c r="N125" s="1">
        <v>45638</v>
      </c>
      <c r="O125" s="1">
        <v>45650</v>
      </c>
      <c r="P125" s="1">
        <v>45645</v>
      </c>
      <c r="Q125" t="s">
        <v>70</v>
      </c>
      <c r="R125" t="s">
        <v>94</v>
      </c>
    </row>
    <row r="126" spans="1:18">
      <c r="A126">
        <v>126</v>
      </c>
      <c r="B126" t="s">
        <v>296</v>
      </c>
      <c r="C126" t="s">
        <v>258</v>
      </c>
      <c r="E126" t="s">
        <v>20</v>
      </c>
      <c r="F126" t="s">
        <v>252</v>
      </c>
      <c r="G126" t="s">
        <v>31</v>
      </c>
      <c r="H126" t="s">
        <v>42</v>
      </c>
      <c r="I126">
        <v>80</v>
      </c>
      <c r="J126" t="s">
        <v>85</v>
      </c>
      <c r="M126">
        <v>13099</v>
      </c>
      <c r="N126" s="1">
        <v>45638</v>
      </c>
      <c r="O126" s="1">
        <v>45654</v>
      </c>
      <c r="P126" s="1">
        <v>45655</v>
      </c>
      <c r="Q126" t="s">
        <v>70</v>
      </c>
      <c r="R126" t="s">
        <v>94</v>
      </c>
    </row>
    <row r="127" spans="1:18">
      <c r="A127">
        <v>127</v>
      </c>
      <c r="B127" t="s">
        <v>104</v>
      </c>
      <c r="C127" t="s">
        <v>218</v>
      </c>
      <c r="E127" t="s">
        <v>104</v>
      </c>
      <c r="F127" t="s">
        <v>200</v>
      </c>
      <c r="G127" t="s">
        <v>201</v>
      </c>
      <c r="H127" t="s">
        <v>246</v>
      </c>
      <c r="J127" t="s">
        <v>203</v>
      </c>
      <c r="K127" t="s">
        <v>297</v>
      </c>
      <c r="M127">
        <v>8700</v>
      </c>
      <c r="N127" s="1">
        <v>45640</v>
      </c>
      <c r="O127" s="1">
        <v>45662</v>
      </c>
      <c r="P127" s="1">
        <v>45655</v>
      </c>
      <c r="Q127" t="s">
        <v>70</v>
      </c>
      <c r="R127" t="s">
        <v>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T26"/>
  <sheetViews>
    <sheetView topLeftCell="AI4" workbookViewId="0">
      <selection activeCell="BP13" sqref="BP13"/>
    </sheetView>
  </sheetViews>
  <sheetFormatPr defaultColWidth="9" defaultRowHeight="14.4"/>
  <cols>
    <col min="1" max="1" width="14.5546875" customWidth="1"/>
    <col min="2" max="2" width="12.77734375" customWidth="1"/>
    <col min="6" max="6" width="8.88671875" style="4"/>
    <col min="7" max="7" width="16.5546875" customWidth="1"/>
    <col min="12" max="12" width="8.88671875" style="4"/>
    <col min="13" max="13" width="17.77734375" customWidth="1"/>
    <col min="14" max="14" width="10.33203125" customWidth="1"/>
    <col min="18" max="18" width="8.88671875" style="4"/>
    <col min="19" max="19" width="24.33203125" customWidth="1"/>
    <col min="24" max="24" width="8.88671875" style="4"/>
    <col min="25" max="25" width="12.5546875" customWidth="1"/>
    <col min="26" max="26" width="14.5546875" customWidth="1"/>
    <col min="30" max="30" width="8.88671875" style="4"/>
    <col min="31" max="31" width="12.5546875" customWidth="1"/>
    <col min="32" max="32" width="14.5546875" customWidth="1"/>
    <col min="33" max="33" width="10" customWidth="1"/>
    <col min="34" max="34" width="6.88671875" customWidth="1"/>
    <col min="35" max="35" width="10.77734375" customWidth="1"/>
    <col min="36" max="36" width="8.88671875" style="4"/>
    <col min="37" max="37" width="12.5546875" customWidth="1"/>
    <col min="38" max="38" width="14.5546875" customWidth="1"/>
    <col min="42" max="42" width="8.88671875" style="5"/>
    <col min="43" max="43" width="12.5546875" customWidth="1"/>
    <col min="44" max="44" width="12.6640625" customWidth="1"/>
    <col min="48" max="48" width="8.88671875" style="4"/>
    <col min="49" max="49" width="12.5546875" customWidth="1"/>
    <col min="50" max="50" width="14.5546875" customWidth="1"/>
    <col min="54" max="54" width="8.88671875" style="4"/>
    <col min="55" max="55" width="12.5546875" customWidth="1"/>
    <col min="56" max="56" width="16.109375" customWidth="1"/>
    <col min="60" max="60" width="8.88671875" style="4"/>
    <col min="61" max="61" width="12.5546875" customWidth="1"/>
    <col min="62" max="62" width="14.5546875" customWidth="1"/>
    <col min="63" max="63" width="8.6640625" customWidth="1"/>
    <col min="64" max="64" width="4.109375" customWidth="1"/>
    <col min="65" max="65" width="9.21875" customWidth="1"/>
    <col min="66" max="66" width="10.77734375" style="4" customWidth="1"/>
    <col min="67" max="67" width="12.5546875" customWidth="1"/>
    <col min="68" max="68" width="17.33203125" customWidth="1"/>
    <col min="72" max="72" width="8.88671875" style="4"/>
  </cols>
  <sheetData>
    <row r="1" spans="1:71">
      <c r="A1" s="11"/>
      <c r="B1" s="11"/>
      <c r="C1" s="11"/>
      <c r="D1" s="11"/>
      <c r="E1" s="11"/>
      <c r="G1" s="11"/>
      <c r="H1" s="11"/>
      <c r="I1" s="11"/>
      <c r="J1" s="11"/>
      <c r="K1" s="11"/>
      <c r="M1" s="11"/>
      <c r="N1" s="11"/>
      <c r="O1" s="11"/>
      <c r="P1" s="11"/>
      <c r="Q1" s="11"/>
      <c r="S1" s="11"/>
      <c r="T1" s="11"/>
      <c r="U1" s="11"/>
      <c r="V1" s="11"/>
      <c r="W1" s="11"/>
      <c r="Y1" s="11"/>
      <c r="Z1" s="11"/>
      <c r="AA1" s="11"/>
      <c r="AB1" s="11"/>
      <c r="AC1" s="11"/>
      <c r="AE1" s="11"/>
      <c r="AF1" s="11"/>
      <c r="AG1" s="11"/>
      <c r="AH1" s="11"/>
      <c r="AI1" s="11"/>
      <c r="AK1" s="11"/>
      <c r="AL1" s="11"/>
      <c r="AM1" s="11"/>
      <c r="AN1" s="11"/>
      <c r="AO1" s="11"/>
      <c r="AQ1" s="11"/>
      <c r="AR1" s="11"/>
      <c r="AS1" s="11"/>
      <c r="AT1" s="11"/>
      <c r="AU1" s="11"/>
      <c r="AW1" s="11"/>
      <c r="AX1" s="11"/>
      <c r="AY1" s="11"/>
      <c r="AZ1" s="11"/>
      <c r="BA1" s="11"/>
      <c r="BC1" s="11"/>
      <c r="BD1" s="11"/>
      <c r="BE1" s="11"/>
      <c r="BF1" s="11"/>
      <c r="BG1" s="11"/>
      <c r="BI1" s="11"/>
      <c r="BJ1" s="11"/>
      <c r="BK1" s="11"/>
      <c r="BL1" s="11"/>
      <c r="BM1" s="11"/>
      <c r="BO1" s="11"/>
      <c r="BP1" s="11"/>
      <c r="BQ1" s="11"/>
      <c r="BR1" s="11"/>
      <c r="BS1" s="11"/>
    </row>
    <row r="2" spans="1:71">
      <c r="A2" s="11"/>
      <c r="B2" s="11"/>
      <c r="C2" s="11"/>
      <c r="D2" s="11"/>
      <c r="E2" s="11"/>
      <c r="G2" s="11"/>
      <c r="H2" s="11"/>
      <c r="I2" s="11"/>
      <c r="J2" s="11"/>
      <c r="K2" s="11"/>
      <c r="M2" s="11"/>
      <c r="N2" s="11"/>
      <c r="O2" s="11"/>
      <c r="P2" s="11"/>
      <c r="Q2" s="11"/>
      <c r="S2" s="11"/>
      <c r="T2" s="11"/>
      <c r="U2" s="11"/>
      <c r="V2" s="11"/>
      <c r="W2" s="11"/>
      <c r="Y2" s="11"/>
      <c r="Z2" s="11"/>
      <c r="AA2" s="11"/>
      <c r="AB2" s="11"/>
      <c r="AC2" s="11"/>
      <c r="AE2" s="11"/>
      <c r="AF2" s="11"/>
      <c r="AG2" s="11"/>
      <c r="AH2" s="11"/>
      <c r="AI2" s="11"/>
      <c r="AK2" s="11"/>
      <c r="AL2" s="11"/>
      <c r="AM2" s="11"/>
      <c r="AN2" s="11"/>
      <c r="AO2" s="11"/>
      <c r="AQ2" s="11"/>
      <c r="AR2" s="11"/>
      <c r="AS2" s="11"/>
      <c r="AT2" s="11"/>
      <c r="AU2" s="11"/>
      <c r="AW2" s="11"/>
      <c r="AX2" s="11"/>
      <c r="AY2" s="11"/>
      <c r="AZ2" s="11"/>
      <c r="BA2" s="11"/>
      <c r="BC2" s="11"/>
      <c r="BD2" s="11"/>
      <c r="BE2" s="11"/>
      <c r="BF2" s="11"/>
      <c r="BG2" s="11"/>
      <c r="BI2" s="11"/>
      <c r="BJ2" s="11"/>
      <c r="BK2" s="11"/>
      <c r="BL2" s="11"/>
      <c r="BM2" s="11"/>
      <c r="BO2" s="11"/>
      <c r="BP2" s="11"/>
      <c r="BQ2" s="11"/>
      <c r="BR2" s="11"/>
      <c r="BS2" s="11"/>
    </row>
    <row r="6" spans="1:71">
      <c r="M6" t="s">
        <v>298</v>
      </c>
    </row>
    <row r="7" spans="1:71">
      <c r="M7" s="6">
        <v>10215.4886408533</v>
      </c>
    </row>
    <row r="10" spans="1:71">
      <c r="A10" t="s">
        <v>299</v>
      </c>
      <c r="N10" s="7">
        <f>GETPIVOTDATA("سعر البيع ",$M$6)</f>
        <v>10215.4886408533</v>
      </c>
    </row>
    <row r="11" spans="1:71">
      <c r="A11" s="6">
        <v>1276936.08010667</v>
      </c>
      <c r="S11" t="s">
        <v>300</v>
      </c>
      <c r="Y11" t="s">
        <v>301</v>
      </c>
      <c r="Z11" t="s">
        <v>299</v>
      </c>
    </row>
    <row r="12" spans="1:71">
      <c r="B12" s="7">
        <f>GETPIVOTDATA("سعر البيع ",$A$10)</f>
        <v>1276936.08010667</v>
      </c>
      <c r="H12">
        <f>COUNTA(#REF!)</f>
        <v>1</v>
      </c>
      <c r="S12" s="8">
        <v>15.448</v>
      </c>
      <c r="Y12" s="9" t="s">
        <v>20</v>
      </c>
      <c r="Z12" s="6">
        <v>869268</v>
      </c>
      <c r="AK12" t="s">
        <v>301</v>
      </c>
      <c r="AL12" t="s">
        <v>299</v>
      </c>
      <c r="BO12" t="s">
        <v>301</v>
      </c>
      <c r="BP12" t="s">
        <v>302</v>
      </c>
    </row>
    <row r="13" spans="1:71">
      <c r="Y13" s="9" t="s">
        <v>104</v>
      </c>
      <c r="Z13" s="6">
        <v>194340</v>
      </c>
      <c r="AK13" s="9" t="s">
        <v>73</v>
      </c>
      <c r="AL13" s="6">
        <v>350498</v>
      </c>
      <c r="BO13" s="9" t="s">
        <v>303</v>
      </c>
      <c r="BP13" s="10">
        <v>0.112</v>
      </c>
    </row>
    <row r="14" spans="1:71">
      <c r="G14" t="s">
        <v>304</v>
      </c>
      <c r="Y14" s="9" t="s">
        <v>305</v>
      </c>
      <c r="Z14" s="6">
        <v>68731.91</v>
      </c>
      <c r="AE14" t="s">
        <v>301</v>
      </c>
      <c r="AF14" t="s">
        <v>299</v>
      </c>
      <c r="AK14" s="9" t="s">
        <v>33</v>
      </c>
      <c r="AL14" s="6">
        <v>29771</v>
      </c>
      <c r="AQ14" t="s">
        <v>301</v>
      </c>
      <c r="AR14" t="s">
        <v>306</v>
      </c>
      <c r="AW14" t="s">
        <v>301</v>
      </c>
      <c r="AX14" t="s">
        <v>299</v>
      </c>
      <c r="BC14" t="s">
        <v>301</v>
      </c>
      <c r="BD14" t="s">
        <v>307</v>
      </c>
      <c r="BO14" s="9" t="s">
        <v>308</v>
      </c>
      <c r="BP14" s="10">
        <v>3.2000000000000001E-2</v>
      </c>
    </row>
    <row r="15" spans="1:71">
      <c r="G15">
        <v>125</v>
      </c>
      <c r="Y15" s="9" t="s">
        <v>59</v>
      </c>
      <c r="Z15" s="6">
        <v>66900</v>
      </c>
      <c r="AE15" s="9" t="s">
        <v>21</v>
      </c>
      <c r="AF15" s="6">
        <v>843545.81544000003</v>
      </c>
      <c r="AK15" s="9" t="s">
        <v>85</v>
      </c>
      <c r="AL15" s="6">
        <v>401568.26466666698</v>
      </c>
      <c r="AQ15" s="9" t="s">
        <v>94</v>
      </c>
      <c r="AR15" s="10">
        <v>0.81599999999999995</v>
      </c>
      <c r="AW15" s="9" t="s">
        <v>309</v>
      </c>
      <c r="AX15" s="6">
        <v>672672.91</v>
      </c>
      <c r="BC15" s="9" t="s">
        <v>310</v>
      </c>
      <c r="BD15">
        <v>91</v>
      </c>
      <c r="BI15" t="s">
        <v>301</v>
      </c>
      <c r="BJ15" t="s">
        <v>299</v>
      </c>
      <c r="BO15" s="9" t="s">
        <v>311</v>
      </c>
      <c r="BP15" s="10">
        <v>0.34399999999999997</v>
      </c>
    </row>
    <row r="16" spans="1:71">
      <c r="Y16" s="9" t="s">
        <v>207</v>
      </c>
      <c r="Z16" s="6">
        <v>33195.170106666701</v>
      </c>
      <c r="AE16" s="9" t="s">
        <v>63</v>
      </c>
      <c r="AF16" s="6">
        <v>241234</v>
      </c>
      <c r="AK16" s="9" t="s">
        <v>203</v>
      </c>
      <c r="AL16" s="6">
        <v>107907</v>
      </c>
      <c r="AQ16" s="9" t="s">
        <v>36</v>
      </c>
      <c r="AR16" s="10">
        <v>0.17599999999999999</v>
      </c>
      <c r="AW16" s="9" t="s">
        <v>312</v>
      </c>
      <c r="AX16" s="6">
        <v>260458</v>
      </c>
      <c r="BC16" s="9" t="s">
        <v>313</v>
      </c>
      <c r="BD16">
        <v>34</v>
      </c>
      <c r="BI16" s="9" t="s">
        <v>314</v>
      </c>
      <c r="BJ16" s="6">
        <v>31775</v>
      </c>
      <c r="BO16" s="9" t="s">
        <v>315</v>
      </c>
      <c r="BP16" s="10">
        <v>0.51200000000000001</v>
      </c>
    </row>
    <row r="17" spans="8:68">
      <c r="T17" s="8">
        <f>GETPIVOTDATA("مدة التسليم(الفعلي)",$S$11)</f>
        <v>15.448</v>
      </c>
      <c r="Y17" s="9" t="s">
        <v>316</v>
      </c>
      <c r="Z17" s="6">
        <v>1232435.08010667</v>
      </c>
      <c r="AE17" s="9" t="s">
        <v>271</v>
      </c>
      <c r="AF17" s="6">
        <v>150806</v>
      </c>
      <c r="AK17" s="9" t="s">
        <v>195</v>
      </c>
      <c r="AL17" s="6">
        <v>12500</v>
      </c>
      <c r="AQ17" s="9" t="s">
        <v>81</v>
      </c>
      <c r="AR17" s="10">
        <v>8.0000000000000002E-3</v>
      </c>
      <c r="AW17" s="9" t="s">
        <v>207</v>
      </c>
      <c r="AX17" s="6">
        <v>72571.170106666701</v>
      </c>
      <c r="BC17" s="9" t="s">
        <v>316</v>
      </c>
      <c r="BD17">
        <v>125</v>
      </c>
      <c r="BI17" s="9" t="s">
        <v>317</v>
      </c>
      <c r="BJ17" s="6">
        <v>89253</v>
      </c>
      <c r="BO17" s="9" t="s">
        <v>316</v>
      </c>
      <c r="BP17" s="10">
        <v>1</v>
      </c>
    </row>
    <row r="18" spans="8:68">
      <c r="H18">
        <f>GETPIVOTDATA("أسم العميل",$G$14)</f>
        <v>125</v>
      </c>
      <c r="AE18" s="9" t="s">
        <v>60</v>
      </c>
      <c r="AF18" s="6">
        <v>22000</v>
      </c>
      <c r="AK18" s="9" t="s">
        <v>236</v>
      </c>
      <c r="AL18" s="6">
        <v>34099.910000000003</v>
      </c>
      <c r="AQ18" s="9" t="s">
        <v>316</v>
      </c>
      <c r="AR18" s="10">
        <v>1</v>
      </c>
      <c r="AW18" s="9" t="s">
        <v>318</v>
      </c>
      <c r="AX18" s="6">
        <v>54762</v>
      </c>
      <c r="BI18" s="9" t="s">
        <v>319</v>
      </c>
      <c r="BJ18" s="6">
        <v>670451</v>
      </c>
    </row>
    <row r="19" spans="8:68">
      <c r="AE19" s="9" t="s">
        <v>215</v>
      </c>
      <c r="AF19" s="6">
        <v>10050.264666666701</v>
      </c>
      <c r="AK19" s="9" t="s">
        <v>151</v>
      </c>
      <c r="AL19" s="6">
        <v>25244</v>
      </c>
      <c r="AW19" s="9" t="s">
        <v>320</v>
      </c>
      <c r="AX19" s="6">
        <v>47827</v>
      </c>
      <c r="BI19" s="9" t="s">
        <v>321</v>
      </c>
      <c r="BJ19" s="6">
        <v>229478.08010666701</v>
      </c>
    </row>
    <row r="20" spans="8:68">
      <c r="AE20" s="9" t="s">
        <v>95</v>
      </c>
      <c r="AF20" s="6">
        <v>9300</v>
      </c>
      <c r="AK20" s="9" t="s">
        <v>225</v>
      </c>
      <c r="AL20" s="6">
        <v>25798</v>
      </c>
      <c r="AW20" s="9" t="s">
        <v>322</v>
      </c>
      <c r="AX20" s="6">
        <v>41640</v>
      </c>
      <c r="BI20" s="9" t="s">
        <v>323</v>
      </c>
      <c r="BJ20" s="6">
        <v>184971</v>
      </c>
    </row>
    <row r="21" spans="8:68">
      <c r="AE21" s="9" t="s">
        <v>316</v>
      </c>
      <c r="AF21" s="6">
        <v>1276936.08010667</v>
      </c>
      <c r="AK21" s="9" t="s">
        <v>133</v>
      </c>
      <c r="AL21" s="6">
        <v>15528</v>
      </c>
      <c r="AW21" s="9" t="s">
        <v>324</v>
      </c>
      <c r="AX21" s="6">
        <v>24288</v>
      </c>
      <c r="BI21" s="9" t="s">
        <v>325</v>
      </c>
      <c r="BJ21" s="6">
        <v>71008</v>
      </c>
    </row>
    <row r="22" spans="8:68">
      <c r="AK22" s="9" t="s">
        <v>43</v>
      </c>
      <c r="AL22" s="6">
        <v>68491</v>
      </c>
      <c r="AW22" s="9" t="s">
        <v>326</v>
      </c>
      <c r="AX22" s="6">
        <v>12999</v>
      </c>
      <c r="BI22" s="9" t="s">
        <v>316</v>
      </c>
      <c r="BJ22" s="6">
        <v>1276936.08010667</v>
      </c>
    </row>
    <row r="23" spans="8:68">
      <c r="AK23" s="9" t="s">
        <v>308</v>
      </c>
      <c r="AL23" s="6">
        <v>191851</v>
      </c>
      <c r="AW23" s="9" t="s">
        <v>316</v>
      </c>
      <c r="AX23" s="6">
        <v>1187218.08010667</v>
      </c>
    </row>
    <row r="24" spans="8:68">
      <c r="AK24" s="9" t="s">
        <v>209</v>
      </c>
      <c r="AL24" s="6">
        <v>8544.9054400000005</v>
      </c>
    </row>
    <row r="25" spans="8:68">
      <c r="AK25" s="9" t="s">
        <v>202</v>
      </c>
      <c r="AL25" s="6">
        <v>5135</v>
      </c>
    </row>
    <row r="26" spans="8:68">
      <c r="AK26" s="9" t="s">
        <v>316</v>
      </c>
      <c r="AL26" s="6">
        <v>1276936.08010667</v>
      </c>
    </row>
  </sheetData>
  <mergeCells count="12">
    <mergeCell ref="G1:K2"/>
    <mergeCell ref="AK1:AO2"/>
    <mergeCell ref="BO1:BS2"/>
    <mergeCell ref="A1:E2"/>
    <mergeCell ref="AE1:AI2"/>
    <mergeCell ref="BI1:BM2"/>
    <mergeCell ref="M1:Q2"/>
    <mergeCell ref="AQ1:AU2"/>
    <mergeCell ref="S1:W2"/>
    <mergeCell ref="AW1:BA2"/>
    <mergeCell ref="Y1:AC2"/>
    <mergeCell ref="BC1:B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E5"/>
  <sheetViews>
    <sheetView showGridLines="0" showRowColHeaders="0" workbookViewId="0">
      <selection activeCell="I21" sqref="I21"/>
    </sheetView>
  </sheetViews>
  <sheetFormatPr defaultColWidth="8.88671875" defaultRowHeight="14.4"/>
  <cols>
    <col min="1" max="16384" width="8.88671875" style="2"/>
  </cols>
  <sheetData>
    <row r="5" spans="5:5">
      <c r="E5" s="3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26"/>
  <sheetViews>
    <sheetView tabSelected="1" workbookViewId="0">
      <selection activeCell="A11" sqref="A11:XFD11"/>
    </sheetView>
  </sheetViews>
  <sheetFormatPr defaultColWidth="9" defaultRowHeight="14.4"/>
  <cols>
    <col min="1" max="1" width="15.44140625" customWidth="1"/>
    <col min="2" max="2" width="8.21875" customWidth="1"/>
    <col min="3" max="3" width="30" customWidth="1"/>
    <col min="4" max="4" width="9.21875" customWidth="1"/>
    <col min="5" max="5" width="8.88671875" customWidth="1"/>
    <col min="6" max="6" width="6.21875" customWidth="1"/>
    <col min="7" max="7" width="8.6640625" customWidth="1"/>
    <col min="8" max="10" width="8.44140625" customWidth="1"/>
    <col min="11" max="11" width="9.44140625" customWidth="1"/>
    <col min="12" max="12" width="12.44140625" customWidth="1"/>
    <col min="13" max="13" width="12" customWidth="1"/>
    <col min="14" max="14" width="9.33203125" customWidth="1"/>
    <col min="15" max="17" width="10.5546875" customWidth="1"/>
    <col min="18" max="18" width="14.88671875" customWidth="1"/>
    <col min="19" max="19" width="14.5546875" customWidth="1"/>
    <col min="20" max="20" width="22.33203125" customWidth="1"/>
    <col min="21" max="23" width="9.44140625" customWidth="1"/>
  </cols>
  <sheetData>
    <row r="1" spans="1:21">
      <c r="A1" t="s">
        <v>1</v>
      </c>
      <c r="B1" t="s">
        <v>327</v>
      </c>
      <c r="C1" t="s">
        <v>2</v>
      </c>
      <c r="D1" t="s">
        <v>328</v>
      </c>
      <c r="E1" t="s">
        <v>4</v>
      </c>
      <c r="F1" t="s">
        <v>329</v>
      </c>
      <c r="G1" t="s">
        <v>330</v>
      </c>
      <c r="H1" t="s">
        <v>7</v>
      </c>
      <c r="I1" t="s">
        <v>331</v>
      </c>
      <c r="J1" t="s">
        <v>8</v>
      </c>
      <c r="K1" t="s">
        <v>9</v>
      </c>
      <c r="L1" t="s">
        <v>10</v>
      </c>
      <c r="M1" t="s">
        <v>12</v>
      </c>
      <c r="N1" t="s">
        <v>332</v>
      </c>
      <c r="O1" t="s">
        <v>13</v>
      </c>
      <c r="P1" t="s">
        <v>14</v>
      </c>
      <c r="Q1" t="s">
        <v>15</v>
      </c>
      <c r="R1" t="s">
        <v>333</v>
      </c>
      <c r="S1" t="s">
        <v>334</v>
      </c>
      <c r="T1" t="s">
        <v>16</v>
      </c>
      <c r="U1" t="s">
        <v>17</v>
      </c>
    </row>
    <row r="2" spans="1:21">
      <c r="A2" t="s">
        <v>335</v>
      </c>
      <c r="B2" t="s">
        <v>310</v>
      </c>
      <c r="C2" t="s">
        <v>19</v>
      </c>
      <c r="D2" t="s">
        <v>312</v>
      </c>
      <c r="E2" t="s">
        <v>20</v>
      </c>
      <c r="F2" t="s">
        <v>21</v>
      </c>
      <c r="G2" t="s">
        <v>22</v>
      </c>
      <c r="H2" t="s">
        <v>308</v>
      </c>
      <c r="I2">
        <v>1</v>
      </c>
      <c r="J2" t="s">
        <v>308</v>
      </c>
      <c r="K2" t="s">
        <v>73</v>
      </c>
      <c r="L2" t="s">
        <v>73</v>
      </c>
      <c r="M2">
        <v>10160</v>
      </c>
      <c r="N2" t="s">
        <v>315</v>
      </c>
      <c r="O2" s="1">
        <v>45500</v>
      </c>
      <c r="P2" s="1"/>
      <c r="Q2" s="1">
        <v>45514</v>
      </c>
      <c r="R2">
        <v>0</v>
      </c>
      <c r="S2">
        <v>14</v>
      </c>
      <c r="T2" t="s">
        <v>336</v>
      </c>
      <c r="U2" t="s">
        <v>94</v>
      </c>
    </row>
    <row r="3" spans="1:21">
      <c r="A3" t="s">
        <v>26</v>
      </c>
      <c r="B3" t="s">
        <v>310</v>
      </c>
      <c r="C3" t="s">
        <v>27</v>
      </c>
      <c r="D3" t="s">
        <v>318</v>
      </c>
      <c r="E3" t="s">
        <v>20</v>
      </c>
      <c r="F3" t="s">
        <v>21</v>
      </c>
      <c r="G3" t="s">
        <v>22</v>
      </c>
      <c r="H3" t="s">
        <v>308</v>
      </c>
      <c r="I3">
        <v>1</v>
      </c>
      <c r="J3" t="s">
        <v>308</v>
      </c>
      <c r="K3" t="s">
        <v>85</v>
      </c>
      <c r="L3" t="s">
        <v>85</v>
      </c>
      <c r="M3">
        <v>10160</v>
      </c>
      <c r="N3" t="s">
        <v>311</v>
      </c>
      <c r="O3" s="1">
        <v>45501</v>
      </c>
      <c r="P3" s="1"/>
      <c r="Q3" s="1">
        <v>45515</v>
      </c>
      <c r="R3">
        <v>0</v>
      </c>
      <c r="S3">
        <v>14</v>
      </c>
      <c r="T3" t="s">
        <v>336</v>
      </c>
      <c r="U3" t="s">
        <v>94</v>
      </c>
    </row>
    <row r="4" spans="1:21">
      <c r="A4" t="s">
        <v>29</v>
      </c>
      <c r="B4" t="s">
        <v>310</v>
      </c>
      <c r="C4" t="s">
        <v>337</v>
      </c>
      <c r="D4" t="s">
        <v>324</v>
      </c>
      <c r="E4" t="s">
        <v>20</v>
      </c>
      <c r="F4" t="s">
        <v>21</v>
      </c>
      <c r="G4" t="s">
        <v>31</v>
      </c>
      <c r="H4" t="s">
        <v>32</v>
      </c>
      <c r="I4">
        <v>1</v>
      </c>
      <c r="J4" t="s">
        <v>338</v>
      </c>
      <c r="K4" t="s">
        <v>33</v>
      </c>
      <c r="L4" t="s">
        <v>308</v>
      </c>
      <c r="M4">
        <v>11455</v>
      </c>
      <c r="N4" t="s">
        <v>311</v>
      </c>
      <c r="O4" s="1">
        <v>45500</v>
      </c>
      <c r="P4" s="1"/>
      <c r="Q4" s="1"/>
      <c r="R4">
        <v>0</v>
      </c>
      <c r="S4">
        <v>0</v>
      </c>
      <c r="T4" t="s">
        <v>36</v>
      </c>
      <c r="U4" t="s">
        <v>36</v>
      </c>
    </row>
    <row r="5" spans="1:21">
      <c r="A5" t="s">
        <v>37</v>
      </c>
      <c r="B5" t="s">
        <v>310</v>
      </c>
      <c r="C5" t="s">
        <v>182</v>
      </c>
      <c r="D5" t="s">
        <v>322</v>
      </c>
      <c r="E5" t="s">
        <v>20</v>
      </c>
      <c r="F5" t="s">
        <v>271</v>
      </c>
      <c r="G5" t="s">
        <v>308</v>
      </c>
      <c r="H5" t="s">
        <v>308</v>
      </c>
      <c r="I5">
        <v>1</v>
      </c>
      <c r="J5" t="s">
        <v>308</v>
      </c>
      <c r="K5" t="s">
        <v>308</v>
      </c>
      <c r="L5" t="s">
        <v>308</v>
      </c>
      <c r="M5">
        <v>8642</v>
      </c>
      <c r="N5" t="s">
        <v>315</v>
      </c>
      <c r="O5" s="1">
        <v>45529</v>
      </c>
      <c r="P5" s="1">
        <v>45542</v>
      </c>
      <c r="Q5" s="1">
        <v>45531</v>
      </c>
      <c r="R5">
        <v>13</v>
      </c>
      <c r="S5">
        <v>2</v>
      </c>
      <c r="T5" t="s">
        <v>336</v>
      </c>
      <c r="U5" t="s">
        <v>94</v>
      </c>
    </row>
    <row r="6" spans="1:21">
      <c r="A6" t="s">
        <v>339</v>
      </c>
      <c r="B6" t="s">
        <v>310</v>
      </c>
      <c r="C6" t="s">
        <v>337</v>
      </c>
      <c r="D6" t="s">
        <v>324</v>
      </c>
      <c r="E6" t="s">
        <v>20</v>
      </c>
      <c r="F6" t="s">
        <v>21</v>
      </c>
      <c r="G6" t="s">
        <v>31</v>
      </c>
      <c r="H6" t="s">
        <v>42</v>
      </c>
      <c r="I6">
        <v>1</v>
      </c>
      <c r="J6" t="s">
        <v>340</v>
      </c>
      <c r="K6" t="s">
        <v>43</v>
      </c>
      <c r="L6" t="s">
        <v>308</v>
      </c>
      <c r="M6">
        <v>12833</v>
      </c>
      <c r="N6" t="s">
        <v>311</v>
      </c>
      <c r="O6" s="1">
        <v>45520</v>
      </c>
      <c r="P6" s="1">
        <v>45535</v>
      </c>
      <c r="Q6" s="1"/>
      <c r="R6">
        <v>15</v>
      </c>
      <c r="S6">
        <v>0</v>
      </c>
      <c r="T6" t="s">
        <v>36</v>
      </c>
      <c r="U6" t="s">
        <v>36</v>
      </c>
    </row>
    <row r="7" spans="1:21">
      <c r="A7" t="s">
        <v>104</v>
      </c>
      <c r="B7" t="s">
        <v>313</v>
      </c>
      <c r="E7" t="s">
        <v>104</v>
      </c>
      <c r="F7" t="s">
        <v>63</v>
      </c>
      <c r="G7" t="s">
        <v>47</v>
      </c>
      <c r="H7" t="s">
        <v>308</v>
      </c>
      <c r="I7">
        <v>1</v>
      </c>
      <c r="J7" t="s">
        <v>308</v>
      </c>
      <c r="K7" t="s">
        <v>308</v>
      </c>
      <c r="L7" t="s">
        <v>341</v>
      </c>
      <c r="M7">
        <v>14550</v>
      </c>
      <c r="N7" t="s">
        <v>315</v>
      </c>
      <c r="O7" s="1">
        <v>45518</v>
      </c>
      <c r="P7" s="1">
        <v>45538</v>
      </c>
      <c r="Q7" s="1">
        <v>45540</v>
      </c>
      <c r="R7">
        <v>20</v>
      </c>
      <c r="S7">
        <v>22</v>
      </c>
      <c r="T7" t="s">
        <v>336</v>
      </c>
      <c r="U7" t="s">
        <v>94</v>
      </c>
    </row>
    <row r="8" spans="1:21">
      <c r="A8" t="s">
        <v>342</v>
      </c>
      <c r="B8" t="s">
        <v>310</v>
      </c>
      <c r="C8" t="s">
        <v>50</v>
      </c>
      <c r="D8" t="s">
        <v>309</v>
      </c>
      <c r="E8" t="s">
        <v>262</v>
      </c>
      <c r="F8" t="s">
        <v>63</v>
      </c>
      <c r="G8" t="s">
        <v>47</v>
      </c>
      <c r="H8" t="s">
        <v>308</v>
      </c>
      <c r="I8">
        <v>1</v>
      </c>
      <c r="J8" t="s">
        <v>308</v>
      </c>
      <c r="K8" t="s">
        <v>308</v>
      </c>
      <c r="L8" t="s">
        <v>341</v>
      </c>
      <c r="M8">
        <v>12000</v>
      </c>
      <c r="N8" t="s">
        <v>311</v>
      </c>
      <c r="O8" s="1">
        <v>45521</v>
      </c>
      <c r="P8" s="1">
        <v>45524</v>
      </c>
      <c r="Q8" s="1">
        <v>45523</v>
      </c>
      <c r="R8">
        <v>3</v>
      </c>
      <c r="S8">
        <v>2</v>
      </c>
      <c r="T8" t="s">
        <v>336</v>
      </c>
      <c r="U8" t="s">
        <v>94</v>
      </c>
    </row>
    <row r="9" spans="1:21">
      <c r="A9" t="s">
        <v>53</v>
      </c>
      <c r="B9" t="s">
        <v>310</v>
      </c>
      <c r="C9" t="s">
        <v>258</v>
      </c>
      <c r="D9" t="s">
        <v>312</v>
      </c>
      <c r="E9" t="s">
        <v>20</v>
      </c>
      <c r="F9" t="s">
        <v>21</v>
      </c>
      <c r="G9" t="s">
        <v>55</v>
      </c>
      <c r="H9" t="s">
        <v>308</v>
      </c>
      <c r="I9">
        <v>1</v>
      </c>
      <c r="J9" t="s">
        <v>308</v>
      </c>
      <c r="K9" t="s">
        <v>73</v>
      </c>
      <c r="L9" t="s">
        <v>308</v>
      </c>
      <c r="M9">
        <v>7228</v>
      </c>
      <c r="N9" t="s">
        <v>315</v>
      </c>
      <c r="O9" s="1">
        <v>45529</v>
      </c>
      <c r="P9" s="1">
        <v>45538</v>
      </c>
      <c r="Q9" s="1">
        <v>45545</v>
      </c>
      <c r="R9">
        <v>9</v>
      </c>
      <c r="S9">
        <v>16</v>
      </c>
      <c r="T9" t="s">
        <v>336</v>
      </c>
      <c r="U9" t="s">
        <v>94</v>
      </c>
    </row>
    <row r="10" spans="1:21">
      <c r="A10" t="s">
        <v>59</v>
      </c>
      <c r="B10" t="s">
        <v>313</v>
      </c>
      <c r="C10" t="s">
        <v>58</v>
      </c>
      <c r="D10" t="s">
        <v>309</v>
      </c>
      <c r="E10" t="s">
        <v>59</v>
      </c>
      <c r="F10" t="s">
        <v>60</v>
      </c>
      <c r="G10" t="s">
        <v>61</v>
      </c>
      <c r="H10" t="s">
        <v>308</v>
      </c>
      <c r="I10">
        <v>1</v>
      </c>
      <c r="J10" t="s">
        <v>308</v>
      </c>
      <c r="K10" t="s">
        <v>308</v>
      </c>
      <c r="L10" t="s">
        <v>308</v>
      </c>
      <c r="M10">
        <v>22000</v>
      </c>
      <c r="N10" t="s">
        <v>311</v>
      </c>
      <c r="O10" s="1">
        <v>45523</v>
      </c>
      <c r="P10" s="1">
        <v>45536</v>
      </c>
      <c r="Q10" s="1">
        <v>45552</v>
      </c>
      <c r="R10">
        <v>13</v>
      </c>
      <c r="S10">
        <v>29</v>
      </c>
      <c r="T10" t="s">
        <v>308</v>
      </c>
      <c r="U10" t="s">
        <v>94</v>
      </c>
    </row>
    <row r="11" spans="1:21">
      <c r="A11" t="s">
        <v>59</v>
      </c>
      <c r="B11" t="s">
        <v>313</v>
      </c>
      <c r="C11" t="s">
        <v>58</v>
      </c>
      <c r="D11" t="s">
        <v>309</v>
      </c>
      <c r="E11" t="s">
        <v>59</v>
      </c>
      <c r="F11" t="s">
        <v>63</v>
      </c>
      <c r="G11" t="s">
        <v>64</v>
      </c>
      <c r="H11" t="s">
        <v>308</v>
      </c>
      <c r="I11">
        <v>2</v>
      </c>
      <c r="J11" t="s">
        <v>308</v>
      </c>
      <c r="K11" t="s">
        <v>308</v>
      </c>
      <c r="L11" t="s">
        <v>308</v>
      </c>
      <c r="M11">
        <v>6000</v>
      </c>
      <c r="N11" t="s">
        <v>311</v>
      </c>
      <c r="O11" s="1">
        <v>45529</v>
      </c>
      <c r="P11" s="1">
        <v>45550</v>
      </c>
      <c r="Q11" s="1">
        <v>45552</v>
      </c>
      <c r="R11">
        <v>21</v>
      </c>
      <c r="S11">
        <v>23</v>
      </c>
      <c r="T11" t="s">
        <v>343</v>
      </c>
      <c r="U11" t="s">
        <v>94</v>
      </c>
    </row>
    <row r="12" spans="1:21">
      <c r="A12" t="s">
        <v>59</v>
      </c>
      <c r="B12" t="s">
        <v>313</v>
      </c>
      <c r="C12" t="s">
        <v>58</v>
      </c>
      <c r="D12" t="s">
        <v>309</v>
      </c>
      <c r="E12" t="s">
        <v>59</v>
      </c>
      <c r="F12" t="s">
        <v>63</v>
      </c>
      <c r="G12" t="s">
        <v>64</v>
      </c>
      <c r="H12" t="s">
        <v>308</v>
      </c>
      <c r="I12">
        <v>2</v>
      </c>
      <c r="J12" t="s">
        <v>308</v>
      </c>
      <c r="K12" t="s">
        <v>308</v>
      </c>
      <c r="L12" t="s">
        <v>308</v>
      </c>
      <c r="M12">
        <v>6000</v>
      </c>
      <c r="N12" t="s">
        <v>311</v>
      </c>
      <c r="O12" s="1">
        <v>45529</v>
      </c>
      <c r="P12" s="1">
        <v>45550</v>
      </c>
      <c r="Q12" s="1">
        <v>45552</v>
      </c>
      <c r="R12">
        <v>21</v>
      </c>
      <c r="S12">
        <v>23</v>
      </c>
      <c r="T12" t="s">
        <v>343</v>
      </c>
      <c r="U12" t="s">
        <v>94</v>
      </c>
    </row>
    <row r="13" spans="1:21">
      <c r="A13" t="s">
        <v>344</v>
      </c>
      <c r="B13" t="s">
        <v>310</v>
      </c>
      <c r="C13" t="s">
        <v>72</v>
      </c>
      <c r="D13" t="s">
        <v>309</v>
      </c>
      <c r="E13" t="s">
        <v>20</v>
      </c>
      <c r="F13" t="s">
        <v>21</v>
      </c>
      <c r="G13" t="s">
        <v>31</v>
      </c>
      <c r="H13" t="s">
        <v>42</v>
      </c>
      <c r="I13">
        <v>1</v>
      </c>
      <c r="J13" t="s">
        <v>345</v>
      </c>
      <c r="K13" t="s">
        <v>73</v>
      </c>
      <c r="L13" t="s">
        <v>308</v>
      </c>
      <c r="M13">
        <v>10499</v>
      </c>
      <c r="N13" t="s">
        <v>311</v>
      </c>
      <c r="O13" s="1">
        <v>45536</v>
      </c>
      <c r="P13" s="1">
        <v>45551</v>
      </c>
      <c r="Q13" s="1">
        <v>45543</v>
      </c>
      <c r="R13">
        <v>15</v>
      </c>
      <c r="S13">
        <v>7</v>
      </c>
      <c r="T13" t="s">
        <v>336</v>
      </c>
      <c r="U13" t="s">
        <v>94</v>
      </c>
    </row>
    <row r="14" spans="1:21">
      <c r="A14" t="s">
        <v>346</v>
      </c>
      <c r="B14" t="s">
        <v>310</v>
      </c>
      <c r="C14" t="s">
        <v>258</v>
      </c>
      <c r="D14" t="s">
        <v>312</v>
      </c>
      <c r="E14" t="s">
        <v>20</v>
      </c>
      <c r="F14" t="s">
        <v>21</v>
      </c>
      <c r="G14" t="s">
        <v>55</v>
      </c>
      <c r="H14" t="s">
        <v>42</v>
      </c>
      <c r="I14">
        <v>1</v>
      </c>
      <c r="J14" t="s">
        <v>345</v>
      </c>
      <c r="K14" t="s">
        <v>73</v>
      </c>
      <c r="L14" t="s">
        <v>308</v>
      </c>
      <c r="M14">
        <v>7295</v>
      </c>
      <c r="N14" t="s">
        <v>311</v>
      </c>
      <c r="O14" s="1">
        <v>45540</v>
      </c>
      <c r="P14" s="1">
        <v>45549</v>
      </c>
      <c r="Q14" s="1"/>
      <c r="R14">
        <v>9</v>
      </c>
      <c r="S14">
        <v>0</v>
      </c>
      <c r="T14" t="s">
        <v>36</v>
      </c>
      <c r="U14" t="s">
        <v>36</v>
      </c>
    </row>
    <row r="15" spans="1:21">
      <c r="A15" t="s">
        <v>347</v>
      </c>
      <c r="B15" t="s">
        <v>310</v>
      </c>
      <c r="C15" t="s">
        <v>348</v>
      </c>
      <c r="D15" t="s">
        <v>309</v>
      </c>
      <c r="E15" t="s">
        <v>20</v>
      </c>
      <c r="F15" t="s">
        <v>271</v>
      </c>
      <c r="G15" t="s">
        <v>79</v>
      </c>
      <c r="H15" t="s">
        <v>308</v>
      </c>
      <c r="I15">
        <v>1</v>
      </c>
      <c r="J15" t="s">
        <v>308</v>
      </c>
      <c r="K15" t="s">
        <v>308</v>
      </c>
      <c r="L15" t="s">
        <v>308</v>
      </c>
      <c r="M15">
        <v>7849</v>
      </c>
      <c r="N15" t="s">
        <v>315</v>
      </c>
      <c r="O15" s="1">
        <v>45539</v>
      </c>
      <c r="P15" s="1">
        <v>45551</v>
      </c>
      <c r="Q15" s="1">
        <v>45560</v>
      </c>
      <c r="R15">
        <v>12</v>
      </c>
      <c r="S15">
        <v>21</v>
      </c>
      <c r="T15" t="s">
        <v>336</v>
      </c>
      <c r="U15" t="s">
        <v>81</v>
      </c>
    </row>
    <row r="16" spans="1:21">
      <c r="A16" t="s">
        <v>349</v>
      </c>
      <c r="B16" t="s">
        <v>310</v>
      </c>
      <c r="C16" t="s">
        <v>50</v>
      </c>
      <c r="D16" t="s">
        <v>309</v>
      </c>
      <c r="E16" t="s">
        <v>305</v>
      </c>
      <c r="F16" t="s">
        <v>21</v>
      </c>
      <c r="G16" t="s">
        <v>31</v>
      </c>
      <c r="H16" t="s">
        <v>32</v>
      </c>
      <c r="I16">
        <v>2</v>
      </c>
      <c r="J16" t="s">
        <v>350</v>
      </c>
      <c r="K16" t="s">
        <v>85</v>
      </c>
      <c r="L16" t="s">
        <v>308</v>
      </c>
      <c r="M16">
        <v>6180</v>
      </c>
      <c r="N16" t="s">
        <v>311</v>
      </c>
      <c r="O16" s="1">
        <v>45538</v>
      </c>
      <c r="P16" s="1">
        <v>45551</v>
      </c>
      <c r="Q16" s="1">
        <v>45550</v>
      </c>
      <c r="R16">
        <v>13</v>
      </c>
      <c r="S16">
        <v>12</v>
      </c>
      <c r="T16" t="s">
        <v>343</v>
      </c>
      <c r="U16" t="s">
        <v>94</v>
      </c>
    </row>
    <row r="17" spans="1:21">
      <c r="A17" t="s">
        <v>349</v>
      </c>
      <c r="B17" t="s">
        <v>310</v>
      </c>
      <c r="C17" t="s">
        <v>50</v>
      </c>
      <c r="D17" t="s">
        <v>309</v>
      </c>
      <c r="E17" t="s">
        <v>305</v>
      </c>
      <c r="F17" t="s">
        <v>21</v>
      </c>
      <c r="G17" t="s">
        <v>31</v>
      </c>
      <c r="H17" t="s">
        <v>32</v>
      </c>
      <c r="I17">
        <v>2</v>
      </c>
      <c r="J17" t="s">
        <v>350</v>
      </c>
      <c r="K17" t="s">
        <v>85</v>
      </c>
      <c r="L17" t="s">
        <v>308</v>
      </c>
      <c r="M17">
        <v>6180</v>
      </c>
      <c r="N17" t="s">
        <v>311</v>
      </c>
      <c r="O17" s="1">
        <v>45538</v>
      </c>
      <c r="P17" s="1">
        <v>45551</v>
      </c>
      <c r="Q17" s="1">
        <v>45550</v>
      </c>
      <c r="R17">
        <v>13</v>
      </c>
      <c r="S17">
        <v>12</v>
      </c>
      <c r="T17" t="s">
        <v>343</v>
      </c>
      <c r="U17" t="s">
        <v>94</v>
      </c>
    </row>
    <row r="18" spans="1:21">
      <c r="A18" t="s">
        <v>87</v>
      </c>
      <c r="B18" t="s">
        <v>310</v>
      </c>
      <c r="C18" t="s">
        <v>351</v>
      </c>
      <c r="D18" t="s">
        <v>309</v>
      </c>
      <c r="E18" t="s">
        <v>20</v>
      </c>
      <c r="F18" t="s">
        <v>21</v>
      </c>
      <c r="G18" t="s">
        <v>31</v>
      </c>
      <c r="H18" t="s">
        <v>89</v>
      </c>
      <c r="I18">
        <v>1</v>
      </c>
      <c r="J18" t="s">
        <v>345</v>
      </c>
      <c r="K18" t="s">
        <v>73</v>
      </c>
      <c r="L18" t="s">
        <v>308</v>
      </c>
      <c r="M18">
        <v>11199</v>
      </c>
      <c r="N18" t="s">
        <v>311</v>
      </c>
      <c r="O18" s="1">
        <v>45539</v>
      </c>
      <c r="P18" s="1">
        <v>45553</v>
      </c>
      <c r="Q18" s="1"/>
      <c r="R18">
        <v>14</v>
      </c>
      <c r="S18">
        <v>0</v>
      </c>
      <c r="T18" t="s">
        <v>36</v>
      </c>
      <c r="U18" t="s">
        <v>36</v>
      </c>
    </row>
    <row r="19" spans="1:21">
      <c r="A19" t="s">
        <v>342</v>
      </c>
      <c r="B19" t="s">
        <v>310</v>
      </c>
      <c r="C19" t="s">
        <v>91</v>
      </c>
      <c r="D19" t="s">
        <v>309</v>
      </c>
      <c r="E19" t="s">
        <v>20</v>
      </c>
      <c r="F19" t="s">
        <v>21</v>
      </c>
      <c r="G19" t="s">
        <v>55</v>
      </c>
      <c r="H19" t="s">
        <v>92</v>
      </c>
      <c r="I19">
        <v>4</v>
      </c>
      <c r="J19" t="s">
        <v>345</v>
      </c>
      <c r="K19" t="s">
        <v>73</v>
      </c>
      <c r="L19" t="s">
        <v>308</v>
      </c>
      <c r="M19">
        <v>7987</v>
      </c>
      <c r="N19" t="s">
        <v>315</v>
      </c>
      <c r="O19" s="1">
        <v>45541</v>
      </c>
      <c r="P19" s="1">
        <v>45551</v>
      </c>
      <c r="Q19" s="1">
        <v>45556</v>
      </c>
      <c r="R19">
        <v>10</v>
      </c>
      <c r="S19">
        <v>15</v>
      </c>
      <c r="T19" t="s">
        <v>343</v>
      </c>
      <c r="U19" t="s">
        <v>94</v>
      </c>
    </row>
    <row r="20" spans="1:21">
      <c r="A20" t="s">
        <v>59</v>
      </c>
      <c r="B20" t="s">
        <v>313</v>
      </c>
      <c r="C20" t="s">
        <v>58</v>
      </c>
      <c r="D20" t="s">
        <v>309</v>
      </c>
      <c r="E20" t="s">
        <v>59</v>
      </c>
      <c r="F20" t="s">
        <v>95</v>
      </c>
      <c r="G20" t="s">
        <v>213</v>
      </c>
      <c r="H20" t="s">
        <v>308</v>
      </c>
      <c r="I20">
        <v>2</v>
      </c>
      <c r="J20" t="s">
        <v>308</v>
      </c>
      <c r="K20" t="s">
        <v>308</v>
      </c>
      <c r="L20" t="s">
        <v>308</v>
      </c>
      <c r="M20">
        <v>9300</v>
      </c>
      <c r="N20" t="s">
        <v>311</v>
      </c>
      <c r="O20" s="1">
        <v>45539</v>
      </c>
      <c r="P20" s="1">
        <v>45550</v>
      </c>
      <c r="Q20" s="1">
        <v>45552</v>
      </c>
      <c r="R20">
        <v>11</v>
      </c>
      <c r="S20">
        <v>13</v>
      </c>
      <c r="T20" t="s">
        <v>343</v>
      </c>
      <c r="U20" t="s">
        <v>94</v>
      </c>
    </row>
    <row r="21" spans="1:21">
      <c r="A21" t="s">
        <v>342</v>
      </c>
      <c r="B21" t="s">
        <v>310</v>
      </c>
      <c r="C21" t="s">
        <v>91</v>
      </c>
      <c r="D21" t="s">
        <v>309</v>
      </c>
      <c r="E21" t="s">
        <v>20</v>
      </c>
      <c r="F21" t="s">
        <v>21</v>
      </c>
      <c r="G21" t="s">
        <v>55</v>
      </c>
      <c r="H21" t="s">
        <v>92</v>
      </c>
      <c r="I21">
        <v>4</v>
      </c>
      <c r="J21" t="s">
        <v>345</v>
      </c>
      <c r="K21" t="s">
        <v>73</v>
      </c>
      <c r="L21" t="s">
        <v>308</v>
      </c>
      <c r="M21">
        <v>7987</v>
      </c>
      <c r="N21" t="s">
        <v>315</v>
      </c>
      <c r="O21" s="1">
        <v>45541</v>
      </c>
      <c r="P21" s="1">
        <v>45551</v>
      </c>
      <c r="Q21" s="1">
        <v>45556</v>
      </c>
      <c r="R21">
        <v>10</v>
      </c>
      <c r="S21">
        <v>15</v>
      </c>
      <c r="T21" t="s">
        <v>343</v>
      </c>
      <c r="U21" t="s">
        <v>94</v>
      </c>
    </row>
    <row r="22" spans="1:21">
      <c r="A22" t="s">
        <v>342</v>
      </c>
      <c r="B22" t="s">
        <v>310</v>
      </c>
      <c r="C22" t="s">
        <v>91</v>
      </c>
      <c r="D22" t="s">
        <v>309</v>
      </c>
      <c r="E22" t="s">
        <v>20</v>
      </c>
      <c r="F22" t="s">
        <v>21</v>
      </c>
      <c r="G22" t="s">
        <v>55</v>
      </c>
      <c r="H22" t="s">
        <v>92</v>
      </c>
      <c r="I22">
        <v>4</v>
      </c>
      <c r="J22" t="s">
        <v>345</v>
      </c>
      <c r="K22" t="s">
        <v>73</v>
      </c>
      <c r="L22" t="s">
        <v>308</v>
      </c>
      <c r="M22">
        <v>7987</v>
      </c>
      <c r="N22" t="s">
        <v>315</v>
      </c>
      <c r="O22" s="1">
        <v>45541</v>
      </c>
      <c r="P22" s="1">
        <v>45551</v>
      </c>
      <c r="Q22" s="1">
        <v>45556</v>
      </c>
      <c r="R22">
        <v>10</v>
      </c>
      <c r="S22">
        <v>15</v>
      </c>
      <c r="T22" t="s">
        <v>343</v>
      </c>
      <c r="U22" t="s">
        <v>94</v>
      </c>
    </row>
    <row r="23" spans="1:21">
      <c r="A23" t="s">
        <v>342</v>
      </c>
      <c r="B23" t="s">
        <v>310</v>
      </c>
      <c r="C23" t="s">
        <v>91</v>
      </c>
      <c r="D23" t="s">
        <v>309</v>
      </c>
      <c r="E23" t="s">
        <v>20</v>
      </c>
      <c r="F23" t="s">
        <v>21</v>
      </c>
      <c r="G23" t="s">
        <v>55</v>
      </c>
      <c r="H23" t="s">
        <v>92</v>
      </c>
      <c r="I23">
        <v>4</v>
      </c>
      <c r="J23" t="s">
        <v>345</v>
      </c>
      <c r="K23" t="s">
        <v>73</v>
      </c>
      <c r="L23" t="s">
        <v>308</v>
      </c>
      <c r="M23">
        <v>7987</v>
      </c>
      <c r="N23" t="s">
        <v>315</v>
      </c>
      <c r="O23" s="1">
        <v>45541</v>
      </c>
      <c r="P23" s="1">
        <v>45551</v>
      </c>
      <c r="Q23" s="1">
        <v>45556</v>
      </c>
      <c r="R23">
        <v>10</v>
      </c>
      <c r="S23">
        <v>15</v>
      </c>
      <c r="T23" t="s">
        <v>343</v>
      </c>
      <c r="U23" t="s">
        <v>94</v>
      </c>
    </row>
    <row r="24" spans="1:21">
      <c r="A24" t="s">
        <v>98</v>
      </c>
      <c r="B24" t="s">
        <v>310</v>
      </c>
      <c r="C24" t="s">
        <v>99</v>
      </c>
      <c r="D24" t="s">
        <v>309</v>
      </c>
      <c r="E24" t="s">
        <v>20</v>
      </c>
      <c r="F24" t="s">
        <v>271</v>
      </c>
      <c r="G24" t="s">
        <v>79</v>
      </c>
      <c r="H24" t="s">
        <v>308</v>
      </c>
      <c r="I24">
        <v>1</v>
      </c>
      <c r="J24" t="s">
        <v>308</v>
      </c>
      <c r="K24" t="s">
        <v>308</v>
      </c>
      <c r="L24" t="s">
        <v>308</v>
      </c>
      <c r="M24">
        <v>8849</v>
      </c>
      <c r="N24" t="s">
        <v>315</v>
      </c>
      <c r="O24" s="1">
        <v>45538</v>
      </c>
      <c r="P24" s="1">
        <v>45581</v>
      </c>
      <c r="Q24" s="1"/>
      <c r="R24">
        <v>43</v>
      </c>
      <c r="S24">
        <v>0</v>
      </c>
      <c r="T24" t="s">
        <v>36</v>
      </c>
      <c r="U24" t="s">
        <v>36</v>
      </c>
    </row>
    <row r="25" spans="1:21">
      <c r="A25" t="s">
        <v>100</v>
      </c>
      <c r="B25" t="s">
        <v>310</v>
      </c>
      <c r="C25" t="s">
        <v>258</v>
      </c>
      <c r="D25" t="s">
        <v>312</v>
      </c>
      <c r="E25" t="s">
        <v>20</v>
      </c>
      <c r="F25" t="s">
        <v>21</v>
      </c>
      <c r="G25" t="s">
        <v>55</v>
      </c>
      <c r="H25" t="s">
        <v>101</v>
      </c>
      <c r="I25">
        <v>1</v>
      </c>
      <c r="J25" t="s">
        <v>350</v>
      </c>
      <c r="K25" t="s">
        <v>73</v>
      </c>
      <c r="L25" t="s">
        <v>308</v>
      </c>
      <c r="M25">
        <v>10987</v>
      </c>
      <c r="N25" t="s">
        <v>315</v>
      </c>
      <c r="O25" s="1">
        <v>45544</v>
      </c>
      <c r="P25" s="1">
        <v>45552</v>
      </c>
      <c r="Q25" s="1">
        <v>45556</v>
      </c>
      <c r="R25">
        <v>8</v>
      </c>
      <c r="S25">
        <v>12</v>
      </c>
      <c r="T25" t="s">
        <v>343</v>
      </c>
      <c r="U25" t="s">
        <v>94</v>
      </c>
    </row>
    <row r="26" spans="1:21">
      <c r="A26" t="s">
        <v>104</v>
      </c>
      <c r="B26" t="s">
        <v>313</v>
      </c>
      <c r="E26" t="s">
        <v>104</v>
      </c>
      <c r="F26" t="s">
        <v>21</v>
      </c>
      <c r="G26" t="s">
        <v>31</v>
      </c>
      <c r="H26" t="s">
        <v>89</v>
      </c>
      <c r="I26">
        <v>1</v>
      </c>
      <c r="J26" t="s">
        <v>340</v>
      </c>
      <c r="K26" t="s">
        <v>73</v>
      </c>
      <c r="L26" t="s">
        <v>308</v>
      </c>
      <c r="M26">
        <v>9208</v>
      </c>
      <c r="N26" t="s">
        <v>311</v>
      </c>
      <c r="O26" s="1">
        <v>45536</v>
      </c>
      <c r="P26" s="1">
        <v>45554</v>
      </c>
      <c r="Q26" s="1">
        <v>45556</v>
      </c>
      <c r="R26">
        <v>18</v>
      </c>
      <c r="S26">
        <v>20</v>
      </c>
      <c r="T26" t="s">
        <v>343</v>
      </c>
      <c r="U26" t="s">
        <v>94</v>
      </c>
    </row>
    <row r="27" spans="1:21">
      <c r="A27" t="s">
        <v>104</v>
      </c>
      <c r="B27" t="s">
        <v>313</v>
      </c>
      <c r="E27" t="s">
        <v>104</v>
      </c>
      <c r="F27" t="s">
        <v>21</v>
      </c>
      <c r="G27" t="s">
        <v>31</v>
      </c>
      <c r="H27" t="s">
        <v>89</v>
      </c>
      <c r="I27">
        <v>1</v>
      </c>
      <c r="J27" t="s">
        <v>340</v>
      </c>
      <c r="K27" t="s">
        <v>85</v>
      </c>
      <c r="L27" t="s">
        <v>308</v>
      </c>
      <c r="M27">
        <v>9208</v>
      </c>
      <c r="N27" t="s">
        <v>311</v>
      </c>
      <c r="O27" s="1">
        <v>45536</v>
      </c>
      <c r="P27" s="1">
        <v>45554</v>
      </c>
      <c r="Q27" s="1">
        <v>45556</v>
      </c>
      <c r="R27">
        <v>18</v>
      </c>
      <c r="S27">
        <v>20</v>
      </c>
      <c r="T27" t="s">
        <v>343</v>
      </c>
      <c r="U27" t="s">
        <v>94</v>
      </c>
    </row>
    <row r="28" spans="1:21">
      <c r="A28" t="s">
        <v>106</v>
      </c>
      <c r="B28" t="s">
        <v>313</v>
      </c>
      <c r="C28" t="s">
        <v>352</v>
      </c>
      <c r="D28" t="s">
        <v>320</v>
      </c>
      <c r="E28" t="s">
        <v>305</v>
      </c>
      <c r="F28" t="s">
        <v>21</v>
      </c>
      <c r="G28" t="s">
        <v>55</v>
      </c>
      <c r="H28" t="s">
        <v>92</v>
      </c>
      <c r="I28">
        <v>2</v>
      </c>
      <c r="J28" t="s">
        <v>350</v>
      </c>
      <c r="K28" t="s">
        <v>73</v>
      </c>
      <c r="L28" t="s">
        <v>308</v>
      </c>
      <c r="M28">
        <v>4020</v>
      </c>
      <c r="N28" t="s">
        <v>303</v>
      </c>
      <c r="O28" s="1">
        <v>45547</v>
      </c>
      <c r="P28" s="1">
        <v>45556</v>
      </c>
      <c r="Q28" s="1">
        <v>45557</v>
      </c>
      <c r="R28">
        <v>9</v>
      </c>
      <c r="S28">
        <v>10</v>
      </c>
      <c r="T28" t="s">
        <v>343</v>
      </c>
      <c r="U28" t="s">
        <v>94</v>
      </c>
    </row>
    <row r="29" spans="1:21">
      <c r="A29" t="s">
        <v>106</v>
      </c>
      <c r="B29" t="s">
        <v>313</v>
      </c>
      <c r="C29" t="s">
        <v>352</v>
      </c>
      <c r="D29" t="s">
        <v>320</v>
      </c>
      <c r="E29" t="s">
        <v>305</v>
      </c>
      <c r="F29" t="s">
        <v>21</v>
      </c>
      <c r="G29" t="s">
        <v>55</v>
      </c>
      <c r="H29" t="s">
        <v>92</v>
      </c>
      <c r="I29">
        <v>2</v>
      </c>
      <c r="J29" t="s">
        <v>350</v>
      </c>
      <c r="K29" t="s">
        <v>73</v>
      </c>
      <c r="L29" t="s">
        <v>308</v>
      </c>
      <c r="M29">
        <v>4020</v>
      </c>
      <c r="N29" t="s">
        <v>303</v>
      </c>
      <c r="O29" s="1">
        <v>45547</v>
      </c>
      <c r="P29" s="1">
        <v>45556</v>
      </c>
      <c r="Q29" s="1">
        <v>45557</v>
      </c>
      <c r="R29">
        <v>9</v>
      </c>
      <c r="S29">
        <v>10</v>
      </c>
      <c r="T29" t="s">
        <v>343</v>
      </c>
      <c r="U29" t="s">
        <v>94</v>
      </c>
    </row>
    <row r="30" spans="1:21">
      <c r="A30" t="s">
        <v>106</v>
      </c>
      <c r="B30" t="s">
        <v>313</v>
      </c>
      <c r="C30" t="s">
        <v>352</v>
      </c>
      <c r="D30" t="s">
        <v>320</v>
      </c>
      <c r="E30" t="s">
        <v>305</v>
      </c>
      <c r="F30" t="s">
        <v>21</v>
      </c>
      <c r="G30" t="s">
        <v>55</v>
      </c>
      <c r="H30" t="s">
        <v>109</v>
      </c>
      <c r="I30">
        <v>2</v>
      </c>
      <c r="J30" t="s">
        <v>350</v>
      </c>
      <c r="K30" t="s">
        <v>85</v>
      </c>
      <c r="L30" t="s">
        <v>308</v>
      </c>
      <c r="M30">
        <v>4020</v>
      </c>
      <c r="N30" t="s">
        <v>315</v>
      </c>
      <c r="O30" s="1">
        <v>45547</v>
      </c>
      <c r="P30" s="1">
        <v>45556</v>
      </c>
      <c r="Q30" s="1">
        <v>45557</v>
      </c>
      <c r="R30">
        <v>9</v>
      </c>
      <c r="S30">
        <v>10</v>
      </c>
      <c r="T30" t="s">
        <v>343</v>
      </c>
      <c r="U30" t="s">
        <v>94</v>
      </c>
    </row>
    <row r="31" spans="1:21">
      <c r="A31" t="s">
        <v>106</v>
      </c>
      <c r="B31" t="s">
        <v>313</v>
      </c>
      <c r="C31" t="s">
        <v>352</v>
      </c>
      <c r="D31" t="s">
        <v>320</v>
      </c>
      <c r="E31" t="s">
        <v>305</v>
      </c>
      <c r="F31" t="s">
        <v>21</v>
      </c>
      <c r="G31" t="s">
        <v>55</v>
      </c>
      <c r="H31" t="s">
        <v>109</v>
      </c>
      <c r="I31">
        <v>2</v>
      </c>
      <c r="J31" t="s">
        <v>350</v>
      </c>
      <c r="K31" t="s">
        <v>85</v>
      </c>
      <c r="L31" t="s">
        <v>308</v>
      </c>
      <c r="M31">
        <v>4020</v>
      </c>
      <c r="N31" t="s">
        <v>315</v>
      </c>
      <c r="O31" s="1">
        <v>45547</v>
      </c>
      <c r="P31" s="1">
        <v>45556</v>
      </c>
      <c r="Q31" s="1">
        <v>45557</v>
      </c>
      <c r="R31">
        <v>9</v>
      </c>
      <c r="S31">
        <v>10</v>
      </c>
      <c r="T31" t="s">
        <v>343</v>
      </c>
      <c r="U31" t="s">
        <v>94</v>
      </c>
    </row>
    <row r="32" spans="1:21">
      <c r="A32" t="s">
        <v>111</v>
      </c>
      <c r="B32" t="s">
        <v>310</v>
      </c>
      <c r="C32" t="s">
        <v>112</v>
      </c>
      <c r="D32" t="s">
        <v>207</v>
      </c>
      <c r="E32" t="s">
        <v>20</v>
      </c>
      <c r="F32" t="s">
        <v>21</v>
      </c>
      <c r="G32" t="s">
        <v>22</v>
      </c>
      <c r="H32" t="s">
        <v>308</v>
      </c>
      <c r="I32">
        <v>1</v>
      </c>
      <c r="J32" t="s">
        <v>308</v>
      </c>
      <c r="K32" t="s">
        <v>85</v>
      </c>
      <c r="L32" t="s">
        <v>85</v>
      </c>
      <c r="M32">
        <v>9399</v>
      </c>
      <c r="N32" t="s">
        <v>315</v>
      </c>
      <c r="O32" s="1">
        <v>45549</v>
      </c>
      <c r="P32" s="1">
        <v>45557</v>
      </c>
      <c r="Q32" s="1"/>
      <c r="R32">
        <v>8</v>
      </c>
      <c r="S32">
        <v>0</v>
      </c>
      <c r="T32" t="s">
        <v>36</v>
      </c>
      <c r="U32" t="s">
        <v>36</v>
      </c>
    </row>
    <row r="33" spans="1:21">
      <c r="A33" t="s">
        <v>114</v>
      </c>
      <c r="B33" t="s">
        <v>310</v>
      </c>
      <c r="C33" t="s">
        <v>353</v>
      </c>
      <c r="D33" t="s">
        <v>318</v>
      </c>
      <c r="E33" t="s">
        <v>20</v>
      </c>
      <c r="F33" t="s">
        <v>271</v>
      </c>
      <c r="G33" t="s">
        <v>116</v>
      </c>
      <c r="H33" t="s">
        <v>308</v>
      </c>
      <c r="I33">
        <v>1</v>
      </c>
      <c r="J33" t="s">
        <v>308</v>
      </c>
      <c r="K33" t="s">
        <v>308</v>
      </c>
      <c r="L33" t="s">
        <v>308</v>
      </c>
      <c r="M33">
        <v>8349</v>
      </c>
      <c r="N33" t="s">
        <v>315</v>
      </c>
      <c r="O33" s="1">
        <v>45549</v>
      </c>
      <c r="P33" s="1">
        <v>45557</v>
      </c>
      <c r="Q33" s="1">
        <v>45559</v>
      </c>
      <c r="R33">
        <v>8</v>
      </c>
      <c r="S33">
        <v>10</v>
      </c>
      <c r="T33" t="s">
        <v>336</v>
      </c>
      <c r="U33" t="s">
        <v>94</v>
      </c>
    </row>
    <row r="34" spans="1:21">
      <c r="A34" t="s">
        <v>354</v>
      </c>
      <c r="B34" t="s">
        <v>310</v>
      </c>
      <c r="C34" t="s">
        <v>258</v>
      </c>
      <c r="D34" t="s">
        <v>312</v>
      </c>
      <c r="E34" t="s">
        <v>20</v>
      </c>
      <c r="F34" t="s">
        <v>21</v>
      </c>
      <c r="G34" t="s">
        <v>22</v>
      </c>
      <c r="H34" t="s">
        <v>308</v>
      </c>
      <c r="I34">
        <v>1</v>
      </c>
      <c r="J34" t="s">
        <v>308</v>
      </c>
      <c r="K34" t="s">
        <v>85</v>
      </c>
      <c r="L34" t="s">
        <v>85</v>
      </c>
      <c r="M34">
        <v>9399</v>
      </c>
      <c r="N34" t="s">
        <v>315</v>
      </c>
      <c r="O34" s="1">
        <v>45548</v>
      </c>
      <c r="P34" s="1">
        <v>45559</v>
      </c>
      <c r="Q34" s="1">
        <v>45565</v>
      </c>
      <c r="R34">
        <v>11</v>
      </c>
      <c r="S34">
        <v>17</v>
      </c>
      <c r="T34" t="s">
        <v>336</v>
      </c>
      <c r="U34" t="s">
        <v>94</v>
      </c>
    </row>
    <row r="35" spans="1:21">
      <c r="A35" t="s">
        <v>355</v>
      </c>
      <c r="B35" t="s">
        <v>310</v>
      </c>
      <c r="C35" t="s">
        <v>290</v>
      </c>
      <c r="D35" t="s">
        <v>309</v>
      </c>
      <c r="E35" t="s">
        <v>20</v>
      </c>
      <c r="F35" t="s">
        <v>271</v>
      </c>
      <c r="G35" t="s">
        <v>79</v>
      </c>
      <c r="H35" t="s">
        <v>308</v>
      </c>
      <c r="I35">
        <v>1</v>
      </c>
      <c r="J35" t="s">
        <v>308</v>
      </c>
      <c r="K35" t="s">
        <v>308</v>
      </c>
      <c r="L35" t="s">
        <v>308</v>
      </c>
      <c r="M35">
        <v>7849</v>
      </c>
      <c r="N35" t="s">
        <v>311</v>
      </c>
      <c r="O35" s="1">
        <v>45547</v>
      </c>
      <c r="P35" s="1">
        <v>45561</v>
      </c>
      <c r="Q35" s="1"/>
      <c r="R35">
        <v>14</v>
      </c>
      <c r="S35">
        <v>0</v>
      </c>
      <c r="T35" t="s">
        <v>336</v>
      </c>
      <c r="U35" t="s">
        <v>94</v>
      </c>
    </row>
    <row r="36" spans="1:21">
      <c r="A36" t="s">
        <v>123</v>
      </c>
      <c r="B36" t="s">
        <v>310</v>
      </c>
      <c r="C36" t="s">
        <v>356</v>
      </c>
      <c r="D36" t="s">
        <v>312</v>
      </c>
      <c r="E36" t="s">
        <v>262</v>
      </c>
      <c r="F36" t="s">
        <v>21</v>
      </c>
      <c r="G36" t="s">
        <v>126</v>
      </c>
      <c r="H36" t="s">
        <v>32</v>
      </c>
      <c r="I36">
        <v>1</v>
      </c>
      <c r="J36" t="s">
        <v>340</v>
      </c>
      <c r="K36" t="s">
        <v>85</v>
      </c>
      <c r="L36" t="s">
        <v>308</v>
      </c>
      <c r="M36">
        <v>9450</v>
      </c>
      <c r="N36" t="s">
        <v>311</v>
      </c>
      <c r="O36" s="1">
        <v>45547</v>
      </c>
      <c r="P36" s="1">
        <v>45561</v>
      </c>
      <c r="Q36" s="1"/>
      <c r="R36">
        <v>14</v>
      </c>
      <c r="S36">
        <v>0</v>
      </c>
      <c r="T36" t="s">
        <v>36</v>
      </c>
      <c r="U36" t="s">
        <v>36</v>
      </c>
    </row>
    <row r="37" spans="1:21">
      <c r="A37" t="s">
        <v>357</v>
      </c>
      <c r="B37" t="s">
        <v>310</v>
      </c>
      <c r="C37" t="s">
        <v>91</v>
      </c>
      <c r="D37" t="s">
        <v>309</v>
      </c>
      <c r="E37" t="s">
        <v>20</v>
      </c>
      <c r="F37" t="s">
        <v>21</v>
      </c>
      <c r="G37" t="s">
        <v>55</v>
      </c>
      <c r="H37" t="s">
        <v>101</v>
      </c>
      <c r="I37">
        <v>1</v>
      </c>
      <c r="J37" t="s">
        <v>350</v>
      </c>
      <c r="K37" t="s">
        <v>85</v>
      </c>
      <c r="L37" t="s">
        <v>308</v>
      </c>
      <c r="M37">
        <v>7460</v>
      </c>
      <c r="N37" t="s">
        <v>315</v>
      </c>
      <c r="O37" s="1">
        <v>45548</v>
      </c>
      <c r="P37" s="1">
        <v>45561</v>
      </c>
      <c r="Q37" s="1">
        <v>45568</v>
      </c>
      <c r="R37">
        <v>13</v>
      </c>
      <c r="S37">
        <v>20</v>
      </c>
      <c r="T37" t="s">
        <v>343</v>
      </c>
      <c r="U37" t="s">
        <v>94</v>
      </c>
    </row>
    <row r="38" spans="1:21">
      <c r="A38" t="s">
        <v>131</v>
      </c>
      <c r="B38" t="s">
        <v>310</v>
      </c>
      <c r="C38" t="s">
        <v>91</v>
      </c>
      <c r="D38" t="s">
        <v>309</v>
      </c>
      <c r="E38" t="s">
        <v>20</v>
      </c>
      <c r="F38" t="s">
        <v>21</v>
      </c>
      <c r="G38" t="s">
        <v>55</v>
      </c>
      <c r="H38" t="s">
        <v>358</v>
      </c>
      <c r="I38">
        <v>1</v>
      </c>
      <c r="J38" t="s">
        <v>359</v>
      </c>
      <c r="K38" t="s">
        <v>133</v>
      </c>
      <c r="L38" t="s">
        <v>43</v>
      </c>
      <c r="M38">
        <v>9528</v>
      </c>
      <c r="N38" t="s">
        <v>315</v>
      </c>
      <c r="O38" s="1">
        <v>45548</v>
      </c>
      <c r="P38" s="1">
        <v>45561</v>
      </c>
      <c r="Q38" s="1">
        <v>45568</v>
      </c>
      <c r="R38">
        <v>13</v>
      </c>
      <c r="S38">
        <v>20</v>
      </c>
      <c r="T38" t="s">
        <v>343</v>
      </c>
      <c r="U38" t="s">
        <v>94</v>
      </c>
    </row>
    <row r="39" spans="1:21">
      <c r="A39" t="s">
        <v>360</v>
      </c>
      <c r="B39" t="s">
        <v>310</v>
      </c>
      <c r="C39" t="s">
        <v>258</v>
      </c>
      <c r="D39" t="s">
        <v>312</v>
      </c>
      <c r="E39" t="s">
        <v>20</v>
      </c>
      <c r="F39" t="s">
        <v>21</v>
      </c>
      <c r="G39" t="s">
        <v>31</v>
      </c>
      <c r="H39" t="s">
        <v>32</v>
      </c>
      <c r="I39">
        <v>1</v>
      </c>
      <c r="J39" t="s">
        <v>350</v>
      </c>
      <c r="K39" t="s">
        <v>43</v>
      </c>
      <c r="L39" t="s">
        <v>308</v>
      </c>
      <c r="M39">
        <v>12999</v>
      </c>
      <c r="N39" t="s">
        <v>315</v>
      </c>
      <c r="O39" s="1">
        <v>45549</v>
      </c>
      <c r="P39" s="1">
        <v>45562</v>
      </c>
      <c r="Q39" s="1">
        <v>45567</v>
      </c>
      <c r="R39">
        <v>13</v>
      </c>
      <c r="S39">
        <v>18</v>
      </c>
      <c r="T39" t="s">
        <v>343</v>
      </c>
      <c r="U39" t="s">
        <v>94</v>
      </c>
    </row>
    <row r="40" spans="1:21">
      <c r="A40" t="s">
        <v>361</v>
      </c>
      <c r="B40" t="s">
        <v>310</v>
      </c>
      <c r="C40" t="s">
        <v>143</v>
      </c>
      <c r="D40" t="s">
        <v>309</v>
      </c>
      <c r="E40" t="s">
        <v>20</v>
      </c>
      <c r="F40" t="s">
        <v>21</v>
      </c>
      <c r="G40" t="s">
        <v>31</v>
      </c>
      <c r="H40" t="s">
        <v>42</v>
      </c>
      <c r="I40">
        <v>1</v>
      </c>
      <c r="J40" t="s">
        <v>338</v>
      </c>
      <c r="K40" t="s">
        <v>85</v>
      </c>
      <c r="L40" t="s">
        <v>308</v>
      </c>
      <c r="M40">
        <v>5999</v>
      </c>
      <c r="N40" t="s">
        <v>315</v>
      </c>
      <c r="O40" s="1">
        <v>45547</v>
      </c>
      <c r="P40" s="1">
        <v>45564</v>
      </c>
      <c r="Q40" s="1"/>
      <c r="R40">
        <v>17</v>
      </c>
      <c r="S40">
        <v>0</v>
      </c>
      <c r="T40" t="s">
        <v>36</v>
      </c>
      <c r="U40" t="s">
        <v>36</v>
      </c>
    </row>
    <row r="41" spans="1:21">
      <c r="A41" t="s">
        <v>362</v>
      </c>
      <c r="B41" t="s">
        <v>310</v>
      </c>
      <c r="C41" t="s">
        <v>363</v>
      </c>
      <c r="D41" t="s">
        <v>312</v>
      </c>
      <c r="E41" t="s">
        <v>20</v>
      </c>
      <c r="F41" t="s">
        <v>21</v>
      </c>
      <c r="G41" t="s">
        <v>31</v>
      </c>
      <c r="H41" t="s">
        <v>32</v>
      </c>
      <c r="I41">
        <v>2</v>
      </c>
      <c r="J41" t="s">
        <v>340</v>
      </c>
      <c r="K41" t="s">
        <v>85</v>
      </c>
      <c r="L41" t="s">
        <v>308</v>
      </c>
      <c r="M41">
        <v>11949</v>
      </c>
      <c r="N41" t="s">
        <v>311</v>
      </c>
      <c r="O41" s="1">
        <v>45547</v>
      </c>
      <c r="P41" s="1">
        <v>45564</v>
      </c>
      <c r="Q41" s="1">
        <v>45567</v>
      </c>
      <c r="R41">
        <v>17</v>
      </c>
      <c r="S41">
        <v>20</v>
      </c>
      <c r="T41" t="s">
        <v>343</v>
      </c>
      <c r="U41" t="s">
        <v>94</v>
      </c>
    </row>
    <row r="42" spans="1:21">
      <c r="A42" t="s">
        <v>362</v>
      </c>
      <c r="B42" t="s">
        <v>310</v>
      </c>
      <c r="C42" t="s">
        <v>363</v>
      </c>
      <c r="D42" t="s">
        <v>312</v>
      </c>
      <c r="E42" t="s">
        <v>20</v>
      </c>
      <c r="F42" t="s">
        <v>21</v>
      </c>
      <c r="G42" t="s">
        <v>31</v>
      </c>
      <c r="H42" t="s">
        <v>32</v>
      </c>
      <c r="I42">
        <v>2</v>
      </c>
      <c r="J42" t="s">
        <v>340</v>
      </c>
      <c r="K42" t="s">
        <v>85</v>
      </c>
      <c r="L42" t="s">
        <v>308</v>
      </c>
      <c r="M42">
        <v>11949</v>
      </c>
      <c r="N42" t="s">
        <v>311</v>
      </c>
      <c r="O42" s="1">
        <v>45547</v>
      </c>
      <c r="P42" s="1">
        <v>45564</v>
      </c>
      <c r="Q42" s="1">
        <v>45567</v>
      </c>
      <c r="R42">
        <v>17</v>
      </c>
      <c r="S42">
        <v>20</v>
      </c>
      <c r="T42" t="s">
        <v>343</v>
      </c>
      <c r="U42" t="s">
        <v>94</v>
      </c>
    </row>
    <row r="43" spans="1:21">
      <c r="A43" t="s">
        <v>342</v>
      </c>
      <c r="B43" t="s">
        <v>310</v>
      </c>
      <c r="C43" t="s">
        <v>143</v>
      </c>
      <c r="D43" t="s">
        <v>309</v>
      </c>
      <c r="E43" t="s">
        <v>20</v>
      </c>
      <c r="F43" t="s">
        <v>21</v>
      </c>
      <c r="G43" t="s">
        <v>126</v>
      </c>
      <c r="H43" t="s">
        <v>32</v>
      </c>
      <c r="I43">
        <v>1</v>
      </c>
      <c r="J43" t="s">
        <v>345</v>
      </c>
      <c r="K43" t="s">
        <v>73</v>
      </c>
      <c r="L43" t="s">
        <v>308</v>
      </c>
      <c r="M43">
        <v>16599</v>
      </c>
      <c r="N43" t="s">
        <v>315</v>
      </c>
      <c r="O43" s="1">
        <v>45548</v>
      </c>
      <c r="P43" s="1">
        <v>45565</v>
      </c>
      <c r="Q43" s="1">
        <v>45568</v>
      </c>
      <c r="R43">
        <v>17</v>
      </c>
      <c r="S43">
        <v>20</v>
      </c>
      <c r="T43" t="s">
        <v>343</v>
      </c>
      <c r="U43" t="s">
        <v>94</v>
      </c>
    </row>
    <row r="44" spans="1:21">
      <c r="A44" t="s">
        <v>364</v>
      </c>
      <c r="B44" t="s">
        <v>310</v>
      </c>
      <c r="C44" t="s">
        <v>182</v>
      </c>
      <c r="D44" t="s">
        <v>322</v>
      </c>
      <c r="E44" t="s">
        <v>20</v>
      </c>
      <c r="F44" t="s">
        <v>21</v>
      </c>
      <c r="G44" t="s">
        <v>31</v>
      </c>
      <c r="H44" t="s">
        <v>32</v>
      </c>
      <c r="I44">
        <v>1</v>
      </c>
      <c r="J44" t="s">
        <v>345</v>
      </c>
      <c r="K44" t="s">
        <v>73</v>
      </c>
      <c r="L44" t="s">
        <v>308</v>
      </c>
      <c r="M44">
        <v>10999</v>
      </c>
      <c r="N44" t="s">
        <v>315</v>
      </c>
      <c r="O44" s="1">
        <v>45548</v>
      </c>
      <c r="P44" s="1">
        <v>45565</v>
      </c>
      <c r="Q44" s="1">
        <v>45581</v>
      </c>
      <c r="R44">
        <v>17</v>
      </c>
      <c r="S44">
        <v>33</v>
      </c>
      <c r="T44" t="s">
        <v>336</v>
      </c>
      <c r="U44" t="s">
        <v>94</v>
      </c>
    </row>
    <row r="45" spans="1:21">
      <c r="A45" t="s">
        <v>365</v>
      </c>
      <c r="B45" t="s">
        <v>310</v>
      </c>
      <c r="C45" t="s">
        <v>366</v>
      </c>
      <c r="D45" t="s">
        <v>207</v>
      </c>
      <c r="E45" t="s">
        <v>20</v>
      </c>
      <c r="F45" t="s">
        <v>21</v>
      </c>
      <c r="G45" t="s">
        <v>31</v>
      </c>
      <c r="H45" t="s">
        <v>32</v>
      </c>
      <c r="I45">
        <v>1</v>
      </c>
      <c r="J45" t="s">
        <v>359</v>
      </c>
      <c r="K45" t="s">
        <v>33</v>
      </c>
      <c r="L45" t="s">
        <v>308</v>
      </c>
      <c r="M45">
        <v>13099</v>
      </c>
      <c r="N45" t="s">
        <v>315</v>
      </c>
      <c r="O45" s="1">
        <v>45548</v>
      </c>
      <c r="P45" s="1">
        <v>45565</v>
      </c>
      <c r="Q45" s="1">
        <v>45568</v>
      </c>
      <c r="R45">
        <v>17</v>
      </c>
      <c r="S45">
        <v>20</v>
      </c>
      <c r="T45" t="s">
        <v>336</v>
      </c>
      <c r="U45" t="s">
        <v>94</v>
      </c>
    </row>
    <row r="46" spans="1:21">
      <c r="A46" t="s">
        <v>367</v>
      </c>
      <c r="B46" t="s">
        <v>310</v>
      </c>
      <c r="C46" t="s">
        <v>258</v>
      </c>
      <c r="D46" t="s">
        <v>312</v>
      </c>
      <c r="E46" t="s">
        <v>20</v>
      </c>
      <c r="F46" t="s">
        <v>21</v>
      </c>
      <c r="G46" t="s">
        <v>31</v>
      </c>
      <c r="H46" t="s">
        <v>89</v>
      </c>
      <c r="I46">
        <v>1</v>
      </c>
      <c r="J46" t="s">
        <v>350</v>
      </c>
      <c r="K46" t="s">
        <v>151</v>
      </c>
      <c r="L46" t="s">
        <v>308</v>
      </c>
      <c r="M46">
        <v>13849</v>
      </c>
      <c r="N46" t="s">
        <v>315</v>
      </c>
      <c r="O46" s="1">
        <v>45548</v>
      </c>
      <c r="P46" s="1">
        <v>45565</v>
      </c>
      <c r="Q46" s="1">
        <v>45585</v>
      </c>
      <c r="R46">
        <v>17</v>
      </c>
      <c r="S46">
        <v>37</v>
      </c>
      <c r="T46" t="s">
        <v>343</v>
      </c>
      <c r="U46" t="s">
        <v>94</v>
      </c>
    </row>
    <row r="47" spans="1:21">
      <c r="A47" t="s">
        <v>368</v>
      </c>
      <c r="B47" t="s">
        <v>310</v>
      </c>
      <c r="C47" t="s">
        <v>91</v>
      </c>
      <c r="D47" t="s">
        <v>309</v>
      </c>
      <c r="E47" t="s">
        <v>20</v>
      </c>
      <c r="F47" t="s">
        <v>63</v>
      </c>
      <c r="G47" t="s">
        <v>47</v>
      </c>
      <c r="H47" t="s">
        <v>308</v>
      </c>
      <c r="I47">
        <v>1</v>
      </c>
      <c r="J47" t="s">
        <v>308</v>
      </c>
      <c r="K47" t="s">
        <v>85</v>
      </c>
      <c r="L47" t="s">
        <v>43</v>
      </c>
      <c r="M47">
        <v>21999</v>
      </c>
      <c r="N47" t="s">
        <v>315</v>
      </c>
      <c r="O47" s="1">
        <v>45548</v>
      </c>
      <c r="P47" s="1">
        <v>45565</v>
      </c>
      <c r="Q47" s="1"/>
      <c r="R47">
        <v>17</v>
      </c>
      <c r="S47">
        <v>0</v>
      </c>
      <c r="T47" t="s">
        <v>343</v>
      </c>
      <c r="U47" t="s">
        <v>94</v>
      </c>
    </row>
    <row r="48" spans="1:21">
      <c r="A48" t="s">
        <v>369</v>
      </c>
      <c r="B48" t="s">
        <v>310</v>
      </c>
      <c r="C48" t="s">
        <v>258</v>
      </c>
      <c r="D48" t="s">
        <v>312</v>
      </c>
      <c r="E48" t="s">
        <v>20</v>
      </c>
      <c r="F48" t="s">
        <v>21</v>
      </c>
      <c r="G48" t="s">
        <v>31</v>
      </c>
      <c r="H48" t="s">
        <v>32</v>
      </c>
      <c r="I48">
        <v>1</v>
      </c>
      <c r="J48" t="s">
        <v>345</v>
      </c>
      <c r="K48" t="s">
        <v>73</v>
      </c>
      <c r="L48" t="s">
        <v>308</v>
      </c>
      <c r="M48">
        <v>10999</v>
      </c>
      <c r="N48" t="s">
        <v>315</v>
      </c>
      <c r="O48" s="1">
        <v>45548</v>
      </c>
      <c r="P48" s="1">
        <v>45565</v>
      </c>
      <c r="Q48" s="1">
        <v>45580</v>
      </c>
      <c r="R48">
        <v>17</v>
      </c>
      <c r="S48">
        <v>32</v>
      </c>
      <c r="T48" t="s">
        <v>343</v>
      </c>
      <c r="U48" t="s">
        <v>94</v>
      </c>
    </row>
    <row r="49" spans="1:21">
      <c r="A49" t="s">
        <v>370</v>
      </c>
      <c r="B49" t="s">
        <v>310</v>
      </c>
      <c r="C49" t="s">
        <v>99</v>
      </c>
      <c r="D49" t="s">
        <v>309</v>
      </c>
      <c r="E49" t="s">
        <v>20</v>
      </c>
      <c r="F49" t="s">
        <v>21</v>
      </c>
      <c r="G49" t="s">
        <v>126</v>
      </c>
      <c r="H49" t="s">
        <v>32</v>
      </c>
      <c r="I49">
        <v>1</v>
      </c>
      <c r="J49" t="s">
        <v>338</v>
      </c>
      <c r="K49" t="s">
        <v>85</v>
      </c>
      <c r="L49" t="s">
        <v>308</v>
      </c>
      <c r="M49">
        <v>17249</v>
      </c>
      <c r="N49" t="s">
        <v>315</v>
      </c>
      <c r="O49" s="1">
        <v>45548</v>
      </c>
      <c r="P49" s="1">
        <v>45565</v>
      </c>
      <c r="Q49" s="1">
        <v>45569</v>
      </c>
      <c r="R49">
        <v>17</v>
      </c>
      <c r="S49">
        <v>21</v>
      </c>
      <c r="T49" t="s">
        <v>343</v>
      </c>
      <c r="U49" t="s">
        <v>94</v>
      </c>
    </row>
    <row r="50" spans="1:21">
      <c r="A50" t="s">
        <v>371</v>
      </c>
      <c r="B50" t="s">
        <v>310</v>
      </c>
      <c r="C50" t="s">
        <v>160</v>
      </c>
      <c r="D50" t="s">
        <v>312</v>
      </c>
      <c r="E50" t="s">
        <v>20</v>
      </c>
      <c r="F50" t="s">
        <v>271</v>
      </c>
      <c r="G50" t="s">
        <v>79</v>
      </c>
      <c r="H50" t="s">
        <v>308</v>
      </c>
      <c r="I50">
        <v>1</v>
      </c>
      <c r="J50" t="s">
        <v>308</v>
      </c>
      <c r="K50" t="s">
        <v>308</v>
      </c>
      <c r="L50" t="s">
        <v>308</v>
      </c>
      <c r="M50">
        <v>8349</v>
      </c>
      <c r="N50" t="s">
        <v>315</v>
      </c>
      <c r="O50" s="1">
        <v>45549</v>
      </c>
      <c r="P50" s="1">
        <v>45581</v>
      </c>
      <c r="Q50" s="1">
        <v>45586</v>
      </c>
      <c r="R50">
        <v>32</v>
      </c>
      <c r="S50">
        <v>37</v>
      </c>
      <c r="T50" t="s">
        <v>343</v>
      </c>
      <c r="U50" t="s">
        <v>94</v>
      </c>
    </row>
    <row r="51" spans="1:21">
      <c r="A51" t="s">
        <v>372</v>
      </c>
      <c r="B51" t="s">
        <v>310</v>
      </c>
      <c r="C51" t="s">
        <v>348</v>
      </c>
      <c r="D51" t="s">
        <v>309</v>
      </c>
      <c r="E51" t="s">
        <v>20</v>
      </c>
      <c r="F51" t="s">
        <v>271</v>
      </c>
      <c r="G51" t="s">
        <v>163</v>
      </c>
      <c r="H51" t="s">
        <v>308</v>
      </c>
      <c r="I51">
        <v>1</v>
      </c>
      <c r="J51" t="s">
        <v>308</v>
      </c>
      <c r="K51" t="s">
        <v>308</v>
      </c>
      <c r="L51" t="s">
        <v>308</v>
      </c>
      <c r="M51">
        <v>7849</v>
      </c>
      <c r="N51" t="s">
        <v>315</v>
      </c>
      <c r="O51" s="1">
        <v>45549</v>
      </c>
      <c r="P51" s="1">
        <v>45594</v>
      </c>
      <c r="Q51" s="1">
        <v>45595</v>
      </c>
      <c r="R51">
        <v>45</v>
      </c>
      <c r="S51">
        <v>46</v>
      </c>
      <c r="T51" t="s">
        <v>343</v>
      </c>
      <c r="U51" t="s">
        <v>94</v>
      </c>
    </row>
    <row r="52" spans="1:21">
      <c r="A52" t="s">
        <v>164</v>
      </c>
      <c r="B52" t="s">
        <v>310</v>
      </c>
      <c r="C52" t="s">
        <v>258</v>
      </c>
      <c r="D52" t="s">
        <v>312</v>
      </c>
      <c r="E52" t="s">
        <v>20</v>
      </c>
      <c r="F52" t="s">
        <v>21</v>
      </c>
      <c r="G52" t="s">
        <v>22</v>
      </c>
      <c r="H52" t="s">
        <v>308</v>
      </c>
      <c r="I52">
        <v>1</v>
      </c>
      <c r="J52" t="s">
        <v>308</v>
      </c>
      <c r="K52" t="s">
        <v>85</v>
      </c>
      <c r="L52" t="s">
        <v>85</v>
      </c>
      <c r="M52">
        <v>9399</v>
      </c>
      <c r="N52" t="s">
        <v>315</v>
      </c>
      <c r="O52" s="1">
        <v>45549</v>
      </c>
      <c r="P52" s="1">
        <v>45594</v>
      </c>
      <c r="Q52" s="1">
        <v>45580</v>
      </c>
      <c r="R52">
        <v>45</v>
      </c>
      <c r="S52">
        <v>31</v>
      </c>
      <c r="T52" t="s">
        <v>343</v>
      </c>
      <c r="U52" t="s">
        <v>94</v>
      </c>
    </row>
    <row r="53" spans="1:21">
      <c r="A53" t="s">
        <v>373</v>
      </c>
      <c r="B53" t="s">
        <v>310</v>
      </c>
      <c r="C53" t="s">
        <v>241</v>
      </c>
      <c r="D53" t="s">
        <v>312</v>
      </c>
      <c r="E53" t="s">
        <v>20</v>
      </c>
      <c r="F53" t="s">
        <v>21</v>
      </c>
      <c r="G53" t="s">
        <v>55</v>
      </c>
      <c r="H53" t="s">
        <v>101</v>
      </c>
      <c r="I53">
        <v>1</v>
      </c>
      <c r="J53" t="s">
        <v>359</v>
      </c>
      <c r="K53" t="s">
        <v>85</v>
      </c>
      <c r="L53" t="s">
        <v>308</v>
      </c>
      <c r="M53">
        <v>11817</v>
      </c>
      <c r="N53" t="s">
        <v>315</v>
      </c>
      <c r="O53" s="1">
        <v>45549</v>
      </c>
      <c r="P53" s="1">
        <v>45594</v>
      </c>
      <c r="Q53" s="1">
        <v>45580</v>
      </c>
      <c r="R53">
        <v>45</v>
      </c>
      <c r="S53">
        <v>31</v>
      </c>
      <c r="T53" t="s">
        <v>343</v>
      </c>
      <c r="U53" t="s">
        <v>94</v>
      </c>
    </row>
    <row r="54" spans="1:21">
      <c r="A54" t="s">
        <v>374</v>
      </c>
      <c r="B54" t="s">
        <v>310</v>
      </c>
      <c r="C54" t="s">
        <v>143</v>
      </c>
      <c r="D54" t="s">
        <v>309</v>
      </c>
      <c r="E54" t="s">
        <v>20</v>
      </c>
      <c r="F54" t="s">
        <v>271</v>
      </c>
      <c r="G54" t="s">
        <v>116</v>
      </c>
      <c r="H54" t="s">
        <v>308</v>
      </c>
      <c r="I54">
        <v>1</v>
      </c>
      <c r="J54" t="s">
        <v>308</v>
      </c>
      <c r="K54" t="s">
        <v>308</v>
      </c>
      <c r="L54" t="s">
        <v>308</v>
      </c>
      <c r="M54">
        <v>8349</v>
      </c>
      <c r="N54" t="s">
        <v>315</v>
      </c>
      <c r="O54" s="1">
        <v>45549</v>
      </c>
      <c r="P54" s="1">
        <v>45594</v>
      </c>
      <c r="Q54" s="1">
        <v>45584</v>
      </c>
      <c r="R54">
        <v>45</v>
      </c>
      <c r="S54">
        <v>35</v>
      </c>
      <c r="T54" t="s">
        <v>343</v>
      </c>
      <c r="U54" t="s">
        <v>94</v>
      </c>
    </row>
    <row r="55" spans="1:21">
      <c r="A55" t="s">
        <v>375</v>
      </c>
      <c r="B55" t="s">
        <v>310</v>
      </c>
      <c r="C55" t="s">
        <v>172</v>
      </c>
      <c r="D55" t="s">
        <v>309</v>
      </c>
      <c r="E55" t="s">
        <v>20</v>
      </c>
      <c r="F55" t="s">
        <v>21</v>
      </c>
      <c r="G55" t="s">
        <v>55</v>
      </c>
      <c r="H55" t="s">
        <v>92</v>
      </c>
      <c r="I55">
        <v>2</v>
      </c>
      <c r="J55" t="s">
        <v>350</v>
      </c>
      <c r="K55" t="s">
        <v>73</v>
      </c>
      <c r="L55" t="s">
        <v>308</v>
      </c>
      <c r="M55">
        <v>17886</v>
      </c>
      <c r="N55" t="s">
        <v>315</v>
      </c>
      <c r="O55" s="1">
        <v>45549</v>
      </c>
      <c r="P55" s="1">
        <v>45594</v>
      </c>
      <c r="Q55" s="1"/>
      <c r="R55">
        <v>45</v>
      </c>
      <c r="S55">
        <v>0</v>
      </c>
      <c r="T55" t="s">
        <v>36</v>
      </c>
      <c r="U55" t="s">
        <v>36</v>
      </c>
    </row>
    <row r="56" spans="1:21">
      <c r="A56" t="s">
        <v>375</v>
      </c>
      <c r="B56" t="s">
        <v>310</v>
      </c>
      <c r="C56" t="s">
        <v>172</v>
      </c>
      <c r="D56" t="s">
        <v>309</v>
      </c>
      <c r="E56" t="s">
        <v>20</v>
      </c>
      <c r="F56" t="s">
        <v>21</v>
      </c>
      <c r="G56" t="s">
        <v>55</v>
      </c>
      <c r="H56" t="s">
        <v>92</v>
      </c>
      <c r="I56">
        <v>2</v>
      </c>
      <c r="J56" t="s">
        <v>350</v>
      </c>
      <c r="K56" t="s">
        <v>73</v>
      </c>
      <c r="L56" t="s">
        <v>308</v>
      </c>
      <c r="M56">
        <v>17886</v>
      </c>
      <c r="N56" t="s">
        <v>315</v>
      </c>
      <c r="O56" s="1">
        <v>45549</v>
      </c>
      <c r="P56" s="1">
        <v>45594</v>
      </c>
      <c r="Q56" s="1"/>
      <c r="R56">
        <v>45</v>
      </c>
      <c r="S56">
        <v>0</v>
      </c>
      <c r="T56" t="s">
        <v>36</v>
      </c>
      <c r="U56" t="s">
        <v>36</v>
      </c>
    </row>
    <row r="57" spans="1:21">
      <c r="A57" t="s">
        <v>174</v>
      </c>
      <c r="B57" t="s">
        <v>310</v>
      </c>
      <c r="C57" t="s">
        <v>91</v>
      </c>
      <c r="D57" t="s">
        <v>309</v>
      </c>
      <c r="E57" t="s">
        <v>20</v>
      </c>
      <c r="F57" t="s">
        <v>21</v>
      </c>
      <c r="G57" t="s">
        <v>55</v>
      </c>
      <c r="H57" t="s">
        <v>101</v>
      </c>
      <c r="I57">
        <v>2</v>
      </c>
      <c r="J57" t="s">
        <v>350</v>
      </c>
      <c r="K57" t="s">
        <v>73</v>
      </c>
      <c r="L57" t="s">
        <v>308</v>
      </c>
      <c r="M57">
        <v>10987</v>
      </c>
      <c r="N57" t="s">
        <v>315</v>
      </c>
      <c r="O57" s="1">
        <v>45549</v>
      </c>
      <c r="P57" s="1">
        <v>45594</v>
      </c>
      <c r="Q57" s="1">
        <v>45578</v>
      </c>
      <c r="R57">
        <v>45</v>
      </c>
      <c r="S57">
        <v>29</v>
      </c>
      <c r="T57" t="s">
        <v>343</v>
      </c>
      <c r="U57" t="s">
        <v>94</v>
      </c>
    </row>
    <row r="58" spans="1:21">
      <c r="A58" t="s">
        <v>174</v>
      </c>
      <c r="B58" t="s">
        <v>310</v>
      </c>
      <c r="C58" t="s">
        <v>91</v>
      </c>
      <c r="D58" t="s">
        <v>309</v>
      </c>
      <c r="E58" t="s">
        <v>20</v>
      </c>
      <c r="F58" t="s">
        <v>21</v>
      </c>
      <c r="G58" t="s">
        <v>55</v>
      </c>
      <c r="H58" t="s">
        <v>101</v>
      </c>
      <c r="I58">
        <v>2</v>
      </c>
      <c r="J58" t="s">
        <v>350</v>
      </c>
      <c r="K58" t="s">
        <v>73</v>
      </c>
      <c r="L58" t="s">
        <v>308</v>
      </c>
      <c r="M58">
        <v>10987</v>
      </c>
      <c r="N58" t="s">
        <v>315</v>
      </c>
      <c r="O58" s="1">
        <v>45549</v>
      </c>
      <c r="P58" s="1">
        <v>45594</v>
      </c>
      <c r="Q58" s="1">
        <v>45578</v>
      </c>
      <c r="R58">
        <v>45</v>
      </c>
      <c r="S58">
        <v>29</v>
      </c>
      <c r="T58" t="s">
        <v>343</v>
      </c>
      <c r="U58" t="s">
        <v>94</v>
      </c>
    </row>
    <row r="59" spans="1:21">
      <c r="A59" t="s">
        <v>376</v>
      </c>
      <c r="B59" t="s">
        <v>310</v>
      </c>
      <c r="C59" t="s">
        <v>177</v>
      </c>
      <c r="D59" t="s">
        <v>309</v>
      </c>
      <c r="E59" t="s">
        <v>20</v>
      </c>
      <c r="F59" t="s">
        <v>271</v>
      </c>
      <c r="G59" t="s">
        <v>79</v>
      </c>
      <c r="H59" t="s">
        <v>308</v>
      </c>
      <c r="I59">
        <v>1</v>
      </c>
      <c r="J59" t="s">
        <v>308</v>
      </c>
      <c r="K59" t="s">
        <v>308</v>
      </c>
      <c r="L59" t="s">
        <v>308</v>
      </c>
      <c r="M59">
        <v>10319</v>
      </c>
      <c r="N59" t="s">
        <v>315</v>
      </c>
      <c r="O59" s="1">
        <v>45549</v>
      </c>
      <c r="P59" s="1">
        <v>45594</v>
      </c>
      <c r="Q59" s="1">
        <v>45584</v>
      </c>
      <c r="R59">
        <v>45</v>
      </c>
      <c r="S59">
        <v>35</v>
      </c>
      <c r="T59" t="s">
        <v>343</v>
      </c>
      <c r="U59" t="s">
        <v>94</v>
      </c>
    </row>
    <row r="60" spans="1:21">
      <c r="A60" t="s">
        <v>377</v>
      </c>
      <c r="B60" t="s">
        <v>310</v>
      </c>
      <c r="C60" t="s">
        <v>378</v>
      </c>
      <c r="D60" t="s">
        <v>326</v>
      </c>
      <c r="E60" t="s">
        <v>20</v>
      </c>
      <c r="F60" t="s">
        <v>21</v>
      </c>
      <c r="G60" t="s">
        <v>31</v>
      </c>
      <c r="H60" t="s">
        <v>32</v>
      </c>
      <c r="I60">
        <v>1</v>
      </c>
      <c r="J60" t="s">
        <v>350</v>
      </c>
      <c r="K60" t="s">
        <v>43</v>
      </c>
      <c r="L60" t="s">
        <v>308</v>
      </c>
      <c r="M60">
        <v>12999</v>
      </c>
      <c r="N60" t="s">
        <v>315</v>
      </c>
      <c r="O60" s="1">
        <v>45549</v>
      </c>
      <c r="P60" s="1">
        <v>45616</v>
      </c>
      <c r="Q60" s="1">
        <v>45582</v>
      </c>
      <c r="R60">
        <v>67</v>
      </c>
      <c r="S60">
        <v>33</v>
      </c>
      <c r="T60" t="s">
        <v>336</v>
      </c>
      <c r="U60" t="s">
        <v>94</v>
      </c>
    </row>
    <row r="61" spans="1:21">
      <c r="A61" t="s">
        <v>181</v>
      </c>
      <c r="B61" t="s">
        <v>310</v>
      </c>
      <c r="C61" t="s">
        <v>182</v>
      </c>
      <c r="D61" t="s">
        <v>322</v>
      </c>
      <c r="E61" t="s">
        <v>20</v>
      </c>
      <c r="F61" t="s">
        <v>63</v>
      </c>
      <c r="G61" t="s">
        <v>47</v>
      </c>
      <c r="H61" t="s">
        <v>308</v>
      </c>
      <c r="I61">
        <v>1</v>
      </c>
      <c r="J61" t="s">
        <v>308</v>
      </c>
      <c r="K61" t="s">
        <v>85</v>
      </c>
      <c r="L61" t="s">
        <v>43</v>
      </c>
      <c r="M61">
        <v>21999</v>
      </c>
      <c r="N61" t="s">
        <v>315</v>
      </c>
      <c r="O61" s="1">
        <v>45549</v>
      </c>
      <c r="P61" s="1">
        <v>45616</v>
      </c>
      <c r="Q61" s="1"/>
      <c r="R61">
        <v>67</v>
      </c>
      <c r="S61">
        <v>0</v>
      </c>
      <c r="T61" t="s">
        <v>36</v>
      </c>
      <c r="U61" t="s">
        <v>36</v>
      </c>
    </row>
    <row r="62" spans="1:21">
      <c r="A62" t="s">
        <v>379</v>
      </c>
      <c r="B62" t="s">
        <v>310</v>
      </c>
      <c r="C62" t="s">
        <v>143</v>
      </c>
      <c r="D62" t="s">
        <v>309</v>
      </c>
      <c r="E62" t="s">
        <v>20</v>
      </c>
      <c r="F62" t="s">
        <v>21</v>
      </c>
      <c r="G62" t="s">
        <v>31</v>
      </c>
      <c r="H62" t="s">
        <v>42</v>
      </c>
      <c r="I62">
        <v>1</v>
      </c>
      <c r="J62" t="s">
        <v>340</v>
      </c>
      <c r="K62" t="s">
        <v>43</v>
      </c>
      <c r="L62" t="s">
        <v>308</v>
      </c>
      <c r="M62">
        <v>12399</v>
      </c>
      <c r="N62" t="s">
        <v>315</v>
      </c>
      <c r="O62" s="1">
        <v>45549</v>
      </c>
      <c r="P62" s="1">
        <v>45616</v>
      </c>
      <c r="Q62" s="1">
        <v>45566</v>
      </c>
      <c r="R62">
        <v>67</v>
      </c>
      <c r="S62">
        <v>17</v>
      </c>
      <c r="T62" t="s">
        <v>336</v>
      </c>
      <c r="U62" t="s">
        <v>94</v>
      </c>
    </row>
    <row r="63" spans="1:21">
      <c r="A63" t="s">
        <v>185</v>
      </c>
      <c r="B63" t="s">
        <v>310</v>
      </c>
      <c r="C63" t="s">
        <v>91</v>
      </c>
      <c r="D63" t="s">
        <v>309</v>
      </c>
      <c r="E63" t="s">
        <v>20</v>
      </c>
      <c r="F63" t="s">
        <v>63</v>
      </c>
      <c r="G63" t="s">
        <v>47</v>
      </c>
      <c r="H63" t="s">
        <v>308</v>
      </c>
      <c r="I63">
        <v>1</v>
      </c>
      <c r="J63" t="s">
        <v>308</v>
      </c>
      <c r="K63" t="s">
        <v>85</v>
      </c>
      <c r="L63" t="s">
        <v>43</v>
      </c>
      <c r="M63">
        <v>21999</v>
      </c>
      <c r="N63" t="s">
        <v>315</v>
      </c>
      <c r="O63" s="1">
        <v>45549</v>
      </c>
      <c r="P63" s="1">
        <v>45616</v>
      </c>
      <c r="Q63" s="1">
        <v>45574</v>
      </c>
      <c r="R63">
        <v>67</v>
      </c>
      <c r="S63">
        <v>25</v>
      </c>
      <c r="T63" t="s">
        <v>343</v>
      </c>
      <c r="U63" t="s">
        <v>94</v>
      </c>
    </row>
    <row r="64" spans="1:21">
      <c r="A64" t="s">
        <v>380</v>
      </c>
      <c r="B64" t="s">
        <v>310</v>
      </c>
      <c r="C64" t="s">
        <v>348</v>
      </c>
      <c r="D64" t="s">
        <v>309</v>
      </c>
      <c r="E64" t="s">
        <v>20</v>
      </c>
      <c r="F64" t="s">
        <v>21</v>
      </c>
      <c r="G64" t="s">
        <v>31</v>
      </c>
      <c r="H64" t="s">
        <v>42</v>
      </c>
      <c r="I64">
        <v>1</v>
      </c>
      <c r="J64" t="s">
        <v>345</v>
      </c>
      <c r="K64" t="s">
        <v>73</v>
      </c>
      <c r="L64" t="s">
        <v>308</v>
      </c>
      <c r="M64">
        <v>10999</v>
      </c>
      <c r="N64" t="s">
        <v>315</v>
      </c>
      <c r="O64" s="1">
        <v>45549</v>
      </c>
      <c r="P64" s="1">
        <v>45616</v>
      </c>
      <c r="Q64" s="1">
        <v>45581</v>
      </c>
      <c r="R64">
        <v>67</v>
      </c>
      <c r="S64">
        <v>32</v>
      </c>
      <c r="T64" t="s">
        <v>343</v>
      </c>
      <c r="U64" t="s">
        <v>94</v>
      </c>
    </row>
    <row r="65" spans="1:21">
      <c r="A65" t="s">
        <v>189</v>
      </c>
      <c r="B65" t="s">
        <v>310</v>
      </c>
      <c r="C65" t="s">
        <v>99</v>
      </c>
      <c r="D65" t="s">
        <v>309</v>
      </c>
      <c r="E65" t="s">
        <v>20</v>
      </c>
      <c r="F65" t="s">
        <v>21</v>
      </c>
      <c r="G65" t="s">
        <v>31</v>
      </c>
      <c r="H65" t="s">
        <v>32</v>
      </c>
      <c r="I65" t="s">
        <v>308</v>
      </c>
      <c r="J65" t="s">
        <v>345</v>
      </c>
      <c r="K65" t="s">
        <v>73</v>
      </c>
      <c r="L65" t="s">
        <v>308</v>
      </c>
      <c r="M65">
        <v>10999</v>
      </c>
      <c r="N65" t="s">
        <v>315</v>
      </c>
      <c r="O65" s="1">
        <v>45550</v>
      </c>
      <c r="P65" s="1">
        <v>45616</v>
      </c>
      <c r="Q65" s="1">
        <v>45581</v>
      </c>
      <c r="R65">
        <v>66</v>
      </c>
      <c r="S65">
        <v>31</v>
      </c>
      <c r="T65" t="s">
        <v>343</v>
      </c>
      <c r="U65" t="s">
        <v>94</v>
      </c>
    </row>
    <row r="66" spans="1:21">
      <c r="A66" t="s">
        <v>189</v>
      </c>
      <c r="B66" t="s">
        <v>310</v>
      </c>
      <c r="C66" t="s">
        <v>99</v>
      </c>
      <c r="D66" t="s">
        <v>309</v>
      </c>
      <c r="E66" t="s">
        <v>20</v>
      </c>
      <c r="F66" t="s">
        <v>21</v>
      </c>
      <c r="G66" t="s">
        <v>31</v>
      </c>
      <c r="H66" t="s">
        <v>32</v>
      </c>
      <c r="I66" t="s">
        <v>308</v>
      </c>
      <c r="J66" t="s">
        <v>345</v>
      </c>
      <c r="K66" t="s">
        <v>73</v>
      </c>
      <c r="L66" t="s">
        <v>308</v>
      </c>
      <c r="M66">
        <v>10999</v>
      </c>
      <c r="N66" t="s">
        <v>315</v>
      </c>
      <c r="O66" s="1">
        <v>45550</v>
      </c>
      <c r="P66" s="1">
        <v>45616</v>
      </c>
      <c r="Q66" s="1">
        <v>45581</v>
      </c>
      <c r="R66">
        <v>66</v>
      </c>
      <c r="S66">
        <v>31</v>
      </c>
      <c r="T66" t="s">
        <v>343</v>
      </c>
      <c r="U66" t="s">
        <v>94</v>
      </c>
    </row>
    <row r="67" spans="1:21">
      <c r="A67" t="s">
        <v>191</v>
      </c>
      <c r="B67" t="s">
        <v>310</v>
      </c>
      <c r="C67" t="s">
        <v>381</v>
      </c>
      <c r="D67" t="s">
        <v>309</v>
      </c>
      <c r="E67" t="s">
        <v>20</v>
      </c>
      <c r="F67" t="s">
        <v>63</v>
      </c>
      <c r="G67" t="s">
        <v>47</v>
      </c>
      <c r="H67" t="s">
        <v>308</v>
      </c>
      <c r="I67" t="s">
        <v>308</v>
      </c>
      <c r="J67" t="s">
        <v>308</v>
      </c>
      <c r="K67" t="s">
        <v>85</v>
      </c>
      <c r="L67" t="s">
        <v>43</v>
      </c>
      <c r="M67">
        <v>21999</v>
      </c>
      <c r="N67" t="s">
        <v>315</v>
      </c>
      <c r="O67" s="1">
        <v>45550</v>
      </c>
      <c r="P67" s="1">
        <v>45616</v>
      </c>
      <c r="Q67" s="1">
        <v>45584</v>
      </c>
      <c r="R67">
        <v>66</v>
      </c>
      <c r="S67">
        <v>34</v>
      </c>
      <c r="T67" t="s">
        <v>343</v>
      </c>
      <c r="U67" t="s">
        <v>94</v>
      </c>
    </row>
    <row r="68" spans="1:21">
      <c r="A68" t="s">
        <v>193</v>
      </c>
      <c r="B68" t="s">
        <v>310</v>
      </c>
      <c r="C68" t="s">
        <v>112</v>
      </c>
      <c r="D68" t="s">
        <v>207</v>
      </c>
      <c r="E68" t="s">
        <v>20</v>
      </c>
      <c r="F68" t="s">
        <v>271</v>
      </c>
      <c r="G68" t="s">
        <v>79</v>
      </c>
      <c r="H68" t="s">
        <v>308</v>
      </c>
      <c r="I68" t="s">
        <v>308</v>
      </c>
      <c r="J68" t="s">
        <v>308</v>
      </c>
      <c r="K68" t="s">
        <v>308</v>
      </c>
      <c r="L68" t="s">
        <v>308</v>
      </c>
      <c r="M68">
        <v>7849</v>
      </c>
      <c r="N68" t="s">
        <v>311</v>
      </c>
      <c r="O68" s="1">
        <v>45551</v>
      </c>
      <c r="P68" s="1">
        <v>45595</v>
      </c>
      <c r="Q68" s="1">
        <v>45610</v>
      </c>
      <c r="R68">
        <v>44</v>
      </c>
      <c r="S68">
        <v>59</v>
      </c>
      <c r="T68" t="s">
        <v>336</v>
      </c>
      <c r="U68" t="s">
        <v>94</v>
      </c>
    </row>
    <row r="69" spans="1:21">
      <c r="A69" t="s">
        <v>106</v>
      </c>
      <c r="B69" t="s">
        <v>313</v>
      </c>
      <c r="C69" t="s">
        <v>382</v>
      </c>
      <c r="D69" t="s">
        <v>320</v>
      </c>
      <c r="E69" t="s">
        <v>305</v>
      </c>
      <c r="F69" t="s">
        <v>21</v>
      </c>
      <c r="G69" t="s">
        <v>31</v>
      </c>
      <c r="H69" t="s">
        <v>32</v>
      </c>
      <c r="I69" t="s">
        <v>308</v>
      </c>
      <c r="J69" t="s">
        <v>345</v>
      </c>
      <c r="K69" t="s">
        <v>73</v>
      </c>
      <c r="L69" t="s">
        <v>308</v>
      </c>
      <c r="M69">
        <v>5074</v>
      </c>
      <c r="N69" t="s">
        <v>303</v>
      </c>
      <c r="O69" s="1">
        <v>45556</v>
      </c>
      <c r="P69" s="1">
        <v>45570</v>
      </c>
      <c r="Q69" s="1">
        <v>45577</v>
      </c>
      <c r="R69">
        <v>14</v>
      </c>
      <c r="S69">
        <v>21</v>
      </c>
      <c r="T69" t="s">
        <v>343</v>
      </c>
      <c r="U69" t="s">
        <v>94</v>
      </c>
    </row>
    <row r="70" spans="1:21">
      <c r="A70" t="s">
        <v>59</v>
      </c>
      <c r="B70" t="s">
        <v>313</v>
      </c>
      <c r="C70" t="s">
        <v>58</v>
      </c>
      <c r="D70" t="s">
        <v>309</v>
      </c>
      <c r="E70" t="s">
        <v>59</v>
      </c>
      <c r="F70" t="s">
        <v>21</v>
      </c>
      <c r="G70" t="s">
        <v>31</v>
      </c>
      <c r="H70" t="s">
        <v>89</v>
      </c>
      <c r="I70" t="s">
        <v>308</v>
      </c>
      <c r="J70" t="s">
        <v>340</v>
      </c>
      <c r="K70" t="s">
        <v>195</v>
      </c>
      <c r="L70" t="s">
        <v>308</v>
      </c>
      <c r="M70">
        <v>6250</v>
      </c>
      <c r="N70" t="s">
        <v>303</v>
      </c>
      <c r="O70" s="1">
        <v>45558</v>
      </c>
      <c r="P70" s="1">
        <v>45573</v>
      </c>
      <c r="Q70" s="1">
        <v>45582</v>
      </c>
      <c r="R70">
        <v>15</v>
      </c>
      <c r="S70">
        <v>24</v>
      </c>
      <c r="T70" t="s">
        <v>343</v>
      </c>
      <c r="U70" t="s">
        <v>94</v>
      </c>
    </row>
    <row r="71" spans="1:21">
      <c r="A71" t="s">
        <v>59</v>
      </c>
      <c r="B71" t="s">
        <v>313</v>
      </c>
      <c r="C71" t="s">
        <v>58</v>
      </c>
      <c r="D71" t="s">
        <v>309</v>
      </c>
      <c r="E71" t="s">
        <v>59</v>
      </c>
      <c r="F71" t="s">
        <v>21</v>
      </c>
      <c r="G71" t="s">
        <v>31</v>
      </c>
      <c r="H71" t="s">
        <v>89</v>
      </c>
      <c r="I71" t="s">
        <v>308</v>
      </c>
      <c r="J71" t="s">
        <v>340</v>
      </c>
      <c r="K71" t="s">
        <v>195</v>
      </c>
      <c r="L71" t="s">
        <v>308</v>
      </c>
      <c r="M71">
        <v>6250</v>
      </c>
      <c r="N71" t="s">
        <v>303</v>
      </c>
      <c r="O71" s="1">
        <v>45558</v>
      </c>
      <c r="P71" s="1">
        <v>45573</v>
      </c>
      <c r="Q71" s="1">
        <v>45582</v>
      </c>
      <c r="R71">
        <v>15</v>
      </c>
      <c r="S71">
        <v>24</v>
      </c>
      <c r="T71" t="s">
        <v>343</v>
      </c>
      <c r="U71" t="s">
        <v>94</v>
      </c>
    </row>
    <row r="72" spans="1:21">
      <c r="A72" t="s">
        <v>196</v>
      </c>
      <c r="B72" t="s">
        <v>310</v>
      </c>
      <c r="C72" t="s">
        <v>58</v>
      </c>
      <c r="D72" t="s">
        <v>309</v>
      </c>
      <c r="E72" t="s">
        <v>20</v>
      </c>
      <c r="F72" t="s">
        <v>21</v>
      </c>
      <c r="G72" t="s">
        <v>55</v>
      </c>
      <c r="H72" t="s">
        <v>92</v>
      </c>
      <c r="I72" t="s">
        <v>308</v>
      </c>
      <c r="J72" t="s">
        <v>350</v>
      </c>
      <c r="K72" t="s">
        <v>73</v>
      </c>
      <c r="L72" t="s">
        <v>308</v>
      </c>
      <c r="M72">
        <v>8943</v>
      </c>
      <c r="N72" t="s">
        <v>311</v>
      </c>
      <c r="O72" s="1">
        <v>45561</v>
      </c>
      <c r="P72" s="1">
        <v>45606</v>
      </c>
      <c r="Q72" s="1">
        <v>45575</v>
      </c>
      <c r="R72">
        <v>45</v>
      </c>
      <c r="S72">
        <v>14</v>
      </c>
      <c r="T72" t="s">
        <v>343</v>
      </c>
      <c r="U72" t="s">
        <v>94</v>
      </c>
    </row>
    <row r="73" spans="1:21">
      <c r="A73" t="s">
        <v>197</v>
      </c>
      <c r="B73" t="s">
        <v>310</v>
      </c>
      <c r="C73" t="s">
        <v>258</v>
      </c>
      <c r="D73" t="s">
        <v>312</v>
      </c>
      <c r="E73" t="s">
        <v>20</v>
      </c>
      <c r="F73" t="s">
        <v>271</v>
      </c>
      <c r="G73" t="s">
        <v>116</v>
      </c>
      <c r="H73" t="s">
        <v>308</v>
      </c>
      <c r="I73" t="s">
        <v>308</v>
      </c>
      <c r="J73" t="s">
        <v>308</v>
      </c>
      <c r="K73" t="s">
        <v>308</v>
      </c>
      <c r="L73" t="s">
        <v>308</v>
      </c>
      <c r="M73">
        <v>8349</v>
      </c>
      <c r="N73" t="s">
        <v>311</v>
      </c>
      <c r="O73" s="1">
        <v>45561</v>
      </c>
      <c r="P73" s="1">
        <v>45606</v>
      </c>
      <c r="Q73" s="1"/>
      <c r="R73">
        <v>45</v>
      </c>
      <c r="S73">
        <v>0</v>
      </c>
      <c r="T73" t="s">
        <v>36</v>
      </c>
      <c r="U73" t="s">
        <v>36</v>
      </c>
    </row>
    <row r="74" spans="1:21">
      <c r="A74" t="s">
        <v>104</v>
      </c>
      <c r="B74" t="s">
        <v>313</v>
      </c>
      <c r="C74" t="s">
        <v>50</v>
      </c>
      <c r="D74" t="s">
        <v>309</v>
      </c>
      <c r="E74" t="s">
        <v>104</v>
      </c>
      <c r="F74" t="s">
        <v>63</v>
      </c>
      <c r="G74" t="s">
        <v>47</v>
      </c>
      <c r="H74" t="s">
        <v>308</v>
      </c>
      <c r="I74" t="s">
        <v>308</v>
      </c>
      <c r="J74" t="s">
        <v>308</v>
      </c>
      <c r="K74" t="s">
        <v>308</v>
      </c>
      <c r="L74" t="s">
        <v>202</v>
      </c>
      <c r="M74">
        <v>14950</v>
      </c>
      <c r="N74" t="s">
        <v>315</v>
      </c>
      <c r="O74" s="1">
        <v>45561</v>
      </c>
      <c r="P74" s="1">
        <v>45579</v>
      </c>
      <c r="Q74" s="1">
        <v>45578</v>
      </c>
      <c r="R74">
        <v>18</v>
      </c>
      <c r="S74">
        <v>17</v>
      </c>
      <c r="T74" t="s">
        <v>343</v>
      </c>
      <c r="U74" t="s">
        <v>94</v>
      </c>
    </row>
    <row r="75" spans="1:21">
      <c r="A75" t="s">
        <v>104</v>
      </c>
      <c r="B75" t="s">
        <v>313</v>
      </c>
      <c r="E75" t="s">
        <v>104</v>
      </c>
      <c r="F75" t="s">
        <v>21</v>
      </c>
      <c r="G75" t="s">
        <v>31</v>
      </c>
      <c r="H75" t="s">
        <v>89</v>
      </c>
      <c r="I75" t="s">
        <v>308</v>
      </c>
      <c r="J75" t="s">
        <v>340</v>
      </c>
      <c r="K75" t="s">
        <v>203</v>
      </c>
      <c r="L75" t="s">
        <v>308</v>
      </c>
      <c r="M75">
        <v>9208</v>
      </c>
      <c r="N75" t="s">
        <v>311</v>
      </c>
      <c r="O75" s="1">
        <v>45561</v>
      </c>
      <c r="P75" s="1">
        <v>45579</v>
      </c>
      <c r="Q75" s="1"/>
      <c r="R75">
        <v>18</v>
      </c>
      <c r="S75">
        <v>0</v>
      </c>
      <c r="T75" t="s">
        <v>36</v>
      </c>
      <c r="U75" t="s">
        <v>36</v>
      </c>
    </row>
    <row r="76" spans="1:21">
      <c r="A76" t="s">
        <v>104</v>
      </c>
      <c r="B76" t="s">
        <v>313</v>
      </c>
      <c r="E76" t="s">
        <v>104</v>
      </c>
      <c r="F76" t="s">
        <v>21</v>
      </c>
      <c r="G76" t="s">
        <v>55</v>
      </c>
      <c r="H76" t="s">
        <v>101</v>
      </c>
      <c r="I76" t="s">
        <v>308</v>
      </c>
      <c r="J76" t="s">
        <v>350</v>
      </c>
      <c r="K76" t="s">
        <v>73</v>
      </c>
      <c r="L76" t="s">
        <v>308</v>
      </c>
      <c r="M76">
        <v>7433</v>
      </c>
      <c r="N76" t="s">
        <v>315</v>
      </c>
      <c r="O76" s="1">
        <v>45564</v>
      </c>
      <c r="P76" s="1">
        <v>45585</v>
      </c>
      <c r="Q76" s="1">
        <v>45586</v>
      </c>
      <c r="R76">
        <v>21</v>
      </c>
      <c r="S76">
        <v>22</v>
      </c>
      <c r="T76" t="s">
        <v>343</v>
      </c>
      <c r="U76" t="s">
        <v>94</v>
      </c>
    </row>
    <row r="77" spans="1:21">
      <c r="A77" t="s">
        <v>106</v>
      </c>
      <c r="B77" t="s">
        <v>313</v>
      </c>
      <c r="C77" t="s">
        <v>382</v>
      </c>
      <c r="D77" t="s">
        <v>320</v>
      </c>
      <c r="E77" t="s">
        <v>305</v>
      </c>
      <c r="F77" t="s">
        <v>21</v>
      </c>
      <c r="G77" t="s">
        <v>55</v>
      </c>
      <c r="H77" t="s">
        <v>92</v>
      </c>
      <c r="I77" t="s">
        <v>308</v>
      </c>
      <c r="J77" t="s">
        <v>350</v>
      </c>
      <c r="K77" t="s">
        <v>73</v>
      </c>
      <c r="L77" t="s">
        <v>308</v>
      </c>
      <c r="M77">
        <v>4020</v>
      </c>
      <c r="N77" t="s">
        <v>303</v>
      </c>
      <c r="O77" s="1">
        <v>45564</v>
      </c>
      <c r="P77" s="1">
        <v>45577</v>
      </c>
      <c r="Q77" s="1">
        <v>45577</v>
      </c>
      <c r="R77">
        <v>13</v>
      </c>
      <c r="S77">
        <v>13</v>
      </c>
      <c r="T77" t="s">
        <v>343</v>
      </c>
      <c r="U77" t="s">
        <v>94</v>
      </c>
    </row>
    <row r="78" spans="1:21">
      <c r="A78" t="s">
        <v>205</v>
      </c>
      <c r="B78" t="s">
        <v>310</v>
      </c>
      <c r="C78" t="s">
        <v>207</v>
      </c>
      <c r="D78" t="s">
        <v>207</v>
      </c>
      <c r="E78" t="s">
        <v>207</v>
      </c>
      <c r="F78" t="s">
        <v>21</v>
      </c>
      <c r="G78" t="s">
        <v>31</v>
      </c>
      <c r="H78" t="s">
        <v>235</v>
      </c>
      <c r="I78" t="s">
        <v>308</v>
      </c>
      <c r="J78" t="s">
        <v>340</v>
      </c>
      <c r="K78" t="s">
        <v>209</v>
      </c>
      <c r="L78" t="s">
        <v>308</v>
      </c>
      <c r="M78">
        <v>8544.9054400000005</v>
      </c>
      <c r="N78" t="s">
        <v>308</v>
      </c>
      <c r="O78" s="1">
        <v>45566</v>
      </c>
      <c r="P78" s="1">
        <v>45574</v>
      </c>
      <c r="Q78" s="1">
        <v>45574</v>
      </c>
      <c r="R78">
        <v>8</v>
      </c>
      <c r="S78">
        <v>8</v>
      </c>
      <c r="T78" t="s">
        <v>383</v>
      </c>
      <c r="U78" t="s">
        <v>94</v>
      </c>
    </row>
    <row r="79" spans="1:21">
      <c r="A79" t="s">
        <v>205</v>
      </c>
      <c r="B79" t="s">
        <v>310</v>
      </c>
      <c r="C79" t="s">
        <v>207</v>
      </c>
      <c r="D79" t="s">
        <v>207</v>
      </c>
      <c r="E79" t="s">
        <v>207</v>
      </c>
      <c r="F79" t="s">
        <v>21</v>
      </c>
      <c r="G79" t="s">
        <v>22</v>
      </c>
      <c r="H79" t="s">
        <v>308</v>
      </c>
      <c r="I79" t="s">
        <v>308</v>
      </c>
      <c r="J79" t="s">
        <v>308</v>
      </c>
      <c r="K79" t="s">
        <v>85</v>
      </c>
      <c r="L79" t="s">
        <v>212</v>
      </c>
      <c r="M79">
        <v>4600</v>
      </c>
      <c r="N79" t="s">
        <v>308</v>
      </c>
      <c r="O79" s="1">
        <v>45566</v>
      </c>
      <c r="P79" s="1">
        <v>45574</v>
      </c>
      <c r="Q79" s="1">
        <v>45574</v>
      </c>
      <c r="R79">
        <v>8</v>
      </c>
      <c r="S79">
        <v>8</v>
      </c>
      <c r="T79" t="s">
        <v>383</v>
      </c>
      <c r="U79" t="s">
        <v>94</v>
      </c>
    </row>
    <row r="80" spans="1:21">
      <c r="A80" t="s">
        <v>205</v>
      </c>
      <c r="B80" t="s">
        <v>310</v>
      </c>
      <c r="C80" t="s">
        <v>207</v>
      </c>
      <c r="D80" t="s">
        <v>207</v>
      </c>
      <c r="E80" t="s">
        <v>207</v>
      </c>
      <c r="F80" t="s">
        <v>63</v>
      </c>
      <c r="G80" t="s">
        <v>213</v>
      </c>
      <c r="H80" t="s">
        <v>308</v>
      </c>
      <c r="I80" t="s">
        <v>308</v>
      </c>
      <c r="J80" t="s">
        <v>308</v>
      </c>
      <c r="K80" t="s">
        <v>85</v>
      </c>
      <c r="L80" t="s">
        <v>214</v>
      </c>
      <c r="M80">
        <v>10000</v>
      </c>
      <c r="N80" t="s">
        <v>308</v>
      </c>
      <c r="O80" s="1">
        <v>45566</v>
      </c>
      <c r="P80" s="1">
        <v>45574</v>
      </c>
      <c r="Q80" s="1">
        <v>45574</v>
      </c>
      <c r="R80">
        <v>8</v>
      </c>
      <c r="S80">
        <v>8</v>
      </c>
      <c r="T80" t="s">
        <v>383</v>
      </c>
      <c r="U80" t="s">
        <v>94</v>
      </c>
    </row>
    <row r="81" spans="1:21">
      <c r="A81" t="s">
        <v>205</v>
      </c>
      <c r="B81" t="s">
        <v>310</v>
      </c>
      <c r="C81" t="s">
        <v>207</v>
      </c>
      <c r="D81" t="s">
        <v>207</v>
      </c>
      <c r="E81" t="s">
        <v>207</v>
      </c>
      <c r="F81" t="s">
        <v>215</v>
      </c>
      <c r="G81" t="s">
        <v>308</v>
      </c>
      <c r="H81" t="s">
        <v>308</v>
      </c>
      <c r="I81" t="s">
        <v>308</v>
      </c>
      <c r="J81" t="s">
        <v>308</v>
      </c>
      <c r="K81" t="s">
        <v>85</v>
      </c>
      <c r="L81" t="s">
        <v>202</v>
      </c>
      <c r="M81">
        <v>10050.264666666701</v>
      </c>
      <c r="N81" t="s">
        <v>308</v>
      </c>
      <c r="O81" s="1">
        <v>45566</v>
      </c>
      <c r="P81" s="1">
        <v>45574</v>
      </c>
      <c r="Q81" s="1">
        <v>45574</v>
      </c>
      <c r="R81">
        <v>8</v>
      </c>
      <c r="S81">
        <v>8</v>
      </c>
      <c r="T81" t="s">
        <v>383</v>
      </c>
      <c r="U81" t="s">
        <v>94</v>
      </c>
    </row>
    <row r="82" spans="1:21">
      <c r="A82" t="s">
        <v>216</v>
      </c>
      <c r="B82" t="s">
        <v>310</v>
      </c>
      <c r="C82" t="s">
        <v>217</v>
      </c>
      <c r="D82" t="s">
        <v>309</v>
      </c>
      <c r="E82" t="s">
        <v>20</v>
      </c>
      <c r="F82" t="s">
        <v>21</v>
      </c>
      <c r="G82" t="s">
        <v>22</v>
      </c>
      <c r="H82" t="s">
        <v>308</v>
      </c>
      <c r="I82" t="s">
        <v>308</v>
      </c>
      <c r="J82" t="s">
        <v>308</v>
      </c>
      <c r="K82" t="s">
        <v>85</v>
      </c>
      <c r="L82" t="s">
        <v>85</v>
      </c>
      <c r="M82">
        <v>8899</v>
      </c>
      <c r="N82" t="s">
        <v>311</v>
      </c>
      <c r="O82" s="1">
        <v>45568</v>
      </c>
      <c r="P82" s="1">
        <v>45613</v>
      </c>
      <c r="Q82" s="1"/>
      <c r="R82">
        <v>45</v>
      </c>
      <c r="S82">
        <v>0</v>
      </c>
      <c r="T82" t="s">
        <v>36</v>
      </c>
      <c r="U82" t="s">
        <v>36</v>
      </c>
    </row>
    <row r="83" spans="1:21">
      <c r="A83" t="s">
        <v>104</v>
      </c>
      <c r="B83" t="s">
        <v>313</v>
      </c>
      <c r="C83" t="s">
        <v>218</v>
      </c>
      <c r="D83" t="s">
        <v>309</v>
      </c>
      <c r="E83" t="s">
        <v>104</v>
      </c>
      <c r="F83" t="s">
        <v>63</v>
      </c>
      <c r="G83" t="s">
        <v>47</v>
      </c>
      <c r="H83" t="s">
        <v>308</v>
      </c>
      <c r="I83" t="s">
        <v>308</v>
      </c>
      <c r="J83" t="s">
        <v>308</v>
      </c>
      <c r="K83" t="s">
        <v>203</v>
      </c>
      <c r="L83" t="s">
        <v>220</v>
      </c>
      <c r="M83">
        <v>14550</v>
      </c>
      <c r="N83" t="s">
        <v>315</v>
      </c>
      <c r="O83" s="1">
        <v>45573</v>
      </c>
      <c r="P83" s="1">
        <v>45594</v>
      </c>
      <c r="Q83" s="1">
        <v>45595</v>
      </c>
      <c r="R83">
        <v>21</v>
      </c>
      <c r="S83">
        <v>22</v>
      </c>
      <c r="T83" t="s">
        <v>343</v>
      </c>
      <c r="U83" t="s">
        <v>94</v>
      </c>
    </row>
    <row r="84" spans="1:21">
      <c r="A84" t="s">
        <v>104</v>
      </c>
      <c r="B84" t="s">
        <v>313</v>
      </c>
      <c r="C84" t="s">
        <v>258</v>
      </c>
      <c r="D84" t="s">
        <v>312</v>
      </c>
      <c r="E84" t="s">
        <v>104</v>
      </c>
      <c r="F84" t="s">
        <v>63</v>
      </c>
      <c r="G84" t="s">
        <v>47</v>
      </c>
      <c r="H84" t="s">
        <v>308</v>
      </c>
      <c r="I84" t="s">
        <v>308</v>
      </c>
      <c r="J84" t="s">
        <v>308</v>
      </c>
      <c r="K84" t="s">
        <v>203</v>
      </c>
      <c r="L84" t="s">
        <v>220</v>
      </c>
      <c r="M84">
        <v>14550</v>
      </c>
      <c r="N84" t="s">
        <v>315</v>
      </c>
      <c r="O84" s="1">
        <v>45572</v>
      </c>
      <c r="P84" s="1">
        <v>45594</v>
      </c>
      <c r="Q84" s="1">
        <v>45580</v>
      </c>
      <c r="R84">
        <v>22</v>
      </c>
      <c r="S84">
        <v>8</v>
      </c>
      <c r="T84" t="s">
        <v>343</v>
      </c>
      <c r="U84" t="s">
        <v>94</v>
      </c>
    </row>
    <row r="85" spans="1:21">
      <c r="A85" t="s">
        <v>104</v>
      </c>
      <c r="B85" t="s">
        <v>313</v>
      </c>
      <c r="E85" t="s">
        <v>104</v>
      </c>
      <c r="F85" t="s">
        <v>63</v>
      </c>
      <c r="G85" t="s">
        <v>47</v>
      </c>
      <c r="H85" t="s">
        <v>308</v>
      </c>
      <c r="I85" t="s">
        <v>308</v>
      </c>
      <c r="J85" t="s">
        <v>308</v>
      </c>
      <c r="K85" t="s">
        <v>203</v>
      </c>
      <c r="L85" t="s">
        <v>202</v>
      </c>
      <c r="M85">
        <v>14550</v>
      </c>
      <c r="N85" t="s">
        <v>311</v>
      </c>
      <c r="O85" s="1">
        <v>45575</v>
      </c>
      <c r="P85" s="1">
        <v>45596</v>
      </c>
      <c r="Q85" s="1">
        <v>45598</v>
      </c>
      <c r="R85">
        <v>21</v>
      </c>
      <c r="S85">
        <v>23</v>
      </c>
      <c r="T85" t="s">
        <v>343</v>
      </c>
      <c r="U85" t="s">
        <v>94</v>
      </c>
    </row>
    <row r="86" spans="1:21">
      <c r="A86" t="s">
        <v>222</v>
      </c>
      <c r="B86" t="s">
        <v>310</v>
      </c>
      <c r="C86" t="s">
        <v>91</v>
      </c>
      <c r="D86" t="s">
        <v>309</v>
      </c>
      <c r="E86" t="s">
        <v>20</v>
      </c>
      <c r="F86" t="s">
        <v>21</v>
      </c>
      <c r="G86" t="s">
        <v>31</v>
      </c>
      <c r="H86" t="s">
        <v>42</v>
      </c>
      <c r="I86" t="s">
        <v>308</v>
      </c>
      <c r="J86" t="s">
        <v>384</v>
      </c>
      <c r="K86" t="s">
        <v>225</v>
      </c>
      <c r="L86" t="s">
        <v>308</v>
      </c>
      <c r="M86">
        <v>12899</v>
      </c>
      <c r="N86" t="s">
        <v>311</v>
      </c>
      <c r="O86" s="1">
        <v>45578</v>
      </c>
      <c r="P86" s="1">
        <v>45643</v>
      </c>
      <c r="Q86" s="1">
        <v>45598</v>
      </c>
      <c r="R86">
        <v>65</v>
      </c>
      <c r="S86">
        <v>20</v>
      </c>
      <c r="T86" t="s">
        <v>343</v>
      </c>
      <c r="U86" t="s">
        <v>94</v>
      </c>
    </row>
    <row r="87" spans="1:21">
      <c r="A87" t="s">
        <v>226</v>
      </c>
      <c r="B87" t="s">
        <v>310</v>
      </c>
      <c r="C87" t="s">
        <v>72</v>
      </c>
      <c r="D87" t="s">
        <v>309</v>
      </c>
      <c r="E87" t="s">
        <v>20</v>
      </c>
      <c r="F87" t="s">
        <v>21</v>
      </c>
      <c r="G87" t="s">
        <v>31</v>
      </c>
      <c r="H87" t="s">
        <v>32</v>
      </c>
      <c r="I87" t="s">
        <v>308</v>
      </c>
      <c r="J87" t="s">
        <v>345</v>
      </c>
      <c r="K87" t="s">
        <v>73</v>
      </c>
      <c r="L87" t="s">
        <v>308</v>
      </c>
      <c r="M87">
        <v>10499</v>
      </c>
      <c r="N87" t="s">
        <v>315</v>
      </c>
      <c r="O87" s="1">
        <v>45581</v>
      </c>
      <c r="P87" s="1">
        <v>45645</v>
      </c>
      <c r="Q87" s="1">
        <v>45586</v>
      </c>
      <c r="R87">
        <v>64</v>
      </c>
      <c r="S87">
        <v>5</v>
      </c>
      <c r="T87" t="s">
        <v>343</v>
      </c>
      <c r="U87" t="s">
        <v>94</v>
      </c>
    </row>
    <row r="88" spans="1:21">
      <c r="A88" t="s">
        <v>227</v>
      </c>
      <c r="B88" t="s">
        <v>310</v>
      </c>
      <c r="C88" t="s">
        <v>228</v>
      </c>
      <c r="D88" t="s">
        <v>318</v>
      </c>
      <c r="E88" t="s">
        <v>20</v>
      </c>
      <c r="F88" t="s">
        <v>21</v>
      </c>
      <c r="G88" t="s">
        <v>31</v>
      </c>
      <c r="H88" t="s">
        <v>42</v>
      </c>
      <c r="I88" t="s">
        <v>308</v>
      </c>
      <c r="J88" t="s">
        <v>385</v>
      </c>
      <c r="K88" t="s">
        <v>225</v>
      </c>
      <c r="L88" t="s">
        <v>308</v>
      </c>
      <c r="M88">
        <v>12899</v>
      </c>
      <c r="N88" t="s">
        <v>315</v>
      </c>
      <c r="O88" s="1">
        <v>45582</v>
      </c>
      <c r="P88" s="1">
        <v>45648</v>
      </c>
      <c r="Q88" s="1">
        <v>45629</v>
      </c>
      <c r="R88">
        <v>66</v>
      </c>
      <c r="S88">
        <v>47</v>
      </c>
      <c r="T88" t="s">
        <v>336</v>
      </c>
      <c r="U88" t="s">
        <v>94</v>
      </c>
    </row>
    <row r="89" spans="1:21">
      <c r="A89" t="s">
        <v>230</v>
      </c>
      <c r="B89" t="s">
        <v>310</v>
      </c>
      <c r="C89" t="s">
        <v>231</v>
      </c>
      <c r="D89" t="s">
        <v>309</v>
      </c>
      <c r="E89" t="s">
        <v>248</v>
      </c>
      <c r="F89" t="s">
        <v>21</v>
      </c>
      <c r="G89" t="s">
        <v>55</v>
      </c>
      <c r="H89" t="s">
        <v>233</v>
      </c>
      <c r="I89" t="s">
        <v>308</v>
      </c>
      <c r="J89" t="s">
        <v>359</v>
      </c>
      <c r="K89" t="s">
        <v>202</v>
      </c>
      <c r="L89" t="s">
        <v>234</v>
      </c>
      <c r="M89">
        <v>5135</v>
      </c>
      <c r="N89" t="s">
        <v>315</v>
      </c>
      <c r="O89" s="1">
        <v>45585</v>
      </c>
      <c r="P89" s="1">
        <v>45613</v>
      </c>
      <c r="Q89" s="1">
        <v>45610</v>
      </c>
      <c r="R89">
        <v>28</v>
      </c>
      <c r="S89">
        <v>25</v>
      </c>
      <c r="T89" t="s">
        <v>343</v>
      </c>
      <c r="U89" t="s">
        <v>94</v>
      </c>
    </row>
    <row r="90" spans="1:21">
      <c r="A90" t="s">
        <v>104</v>
      </c>
      <c r="B90" t="s">
        <v>313</v>
      </c>
      <c r="C90" t="s">
        <v>258</v>
      </c>
      <c r="D90" t="s">
        <v>312</v>
      </c>
      <c r="E90" t="s">
        <v>104</v>
      </c>
      <c r="F90" t="s">
        <v>21</v>
      </c>
      <c r="G90" t="s">
        <v>31</v>
      </c>
      <c r="H90" t="s">
        <v>235</v>
      </c>
      <c r="I90" t="s">
        <v>308</v>
      </c>
      <c r="J90" t="s">
        <v>340</v>
      </c>
      <c r="K90" t="s">
        <v>236</v>
      </c>
      <c r="L90" t="s">
        <v>308</v>
      </c>
      <c r="M90">
        <v>12777.5</v>
      </c>
      <c r="N90" t="s">
        <v>311</v>
      </c>
      <c r="O90" s="1">
        <v>45587</v>
      </c>
      <c r="P90" s="1">
        <v>45608</v>
      </c>
      <c r="Q90" s="1">
        <v>45614</v>
      </c>
      <c r="R90">
        <v>21</v>
      </c>
      <c r="S90">
        <v>27</v>
      </c>
      <c r="T90" t="s">
        <v>343</v>
      </c>
      <c r="U90" t="s">
        <v>94</v>
      </c>
    </row>
    <row r="91" spans="1:21">
      <c r="A91" t="s">
        <v>104</v>
      </c>
      <c r="B91" t="s">
        <v>313</v>
      </c>
      <c r="C91" t="s">
        <v>258</v>
      </c>
      <c r="D91" t="s">
        <v>312</v>
      </c>
      <c r="E91" t="s">
        <v>104</v>
      </c>
      <c r="F91" t="s">
        <v>21</v>
      </c>
      <c r="G91" t="s">
        <v>31</v>
      </c>
      <c r="H91" t="s">
        <v>235</v>
      </c>
      <c r="I91" t="s">
        <v>308</v>
      </c>
      <c r="J91" t="s">
        <v>340</v>
      </c>
      <c r="K91" t="s">
        <v>236</v>
      </c>
      <c r="L91" t="s">
        <v>308</v>
      </c>
      <c r="M91">
        <v>12777.5</v>
      </c>
      <c r="N91" t="s">
        <v>311</v>
      </c>
      <c r="O91" s="1">
        <v>45587</v>
      </c>
      <c r="P91" s="1">
        <v>45608</v>
      </c>
      <c r="Q91" s="1">
        <v>45614</v>
      </c>
      <c r="R91">
        <v>21</v>
      </c>
      <c r="S91">
        <v>27</v>
      </c>
      <c r="T91" t="s">
        <v>343</v>
      </c>
      <c r="U91" t="s">
        <v>94</v>
      </c>
    </row>
    <row r="92" spans="1:21">
      <c r="A92" t="s">
        <v>106</v>
      </c>
      <c r="B92" t="s">
        <v>313</v>
      </c>
      <c r="C92" t="s">
        <v>237</v>
      </c>
      <c r="D92" t="s">
        <v>309</v>
      </c>
      <c r="E92" t="s">
        <v>305</v>
      </c>
      <c r="F92" t="s">
        <v>21</v>
      </c>
      <c r="G92" t="s">
        <v>31</v>
      </c>
      <c r="H92" t="s">
        <v>235</v>
      </c>
      <c r="I92" t="s">
        <v>308</v>
      </c>
      <c r="J92" t="s">
        <v>340</v>
      </c>
      <c r="K92" t="s">
        <v>236</v>
      </c>
      <c r="L92" t="s">
        <v>308</v>
      </c>
      <c r="M92">
        <v>8544.91</v>
      </c>
      <c r="N92" t="s">
        <v>303</v>
      </c>
      <c r="O92" s="1">
        <v>45587</v>
      </c>
      <c r="P92" s="1"/>
      <c r="Q92" s="1"/>
      <c r="R92">
        <v>0</v>
      </c>
      <c r="S92">
        <v>0</v>
      </c>
      <c r="T92" t="s">
        <v>36</v>
      </c>
      <c r="U92" t="s">
        <v>36</v>
      </c>
    </row>
    <row r="93" spans="1:21">
      <c r="A93" t="s">
        <v>239</v>
      </c>
      <c r="B93" t="s">
        <v>310</v>
      </c>
      <c r="C93" t="s">
        <v>258</v>
      </c>
      <c r="D93" t="s">
        <v>312</v>
      </c>
      <c r="E93" t="s">
        <v>20</v>
      </c>
      <c r="F93" t="s">
        <v>21</v>
      </c>
      <c r="G93" t="s">
        <v>55</v>
      </c>
      <c r="H93" t="s">
        <v>92</v>
      </c>
      <c r="I93" t="s">
        <v>308</v>
      </c>
      <c r="J93" t="s">
        <v>350</v>
      </c>
      <c r="K93" t="s">
        <v>73</v>
      </c>
      <c r="L93" t="s">
        <v>308</v>
      </c>
      <c r="M93">
        <v>8943</v>
      </c>
      <c r="N93" t="s">
        <v>311</v>
      </c>
      <c r="O93" s="1">
        <v>45586</v>
      </c>
      <c r="P93" s="1">
        <v>45610</v>
      </c>
      <c r="Q93" s="1">
        <v>45614</v>
      </c>
      <c r="R93">
        <v>24</v>
      </c>
      <c r="S93">
        <v>28</v>
      </c>
      <c r="T93" t="s">
        <v>343</v>
      </c>
      <c r="U93" t="s">
        <v>94</v>
      </c>
    </row>
    <row r="94" spans="1:21">
      <c r="A94" t="s">
        <v>104</v>
      </c>
      <c r="B94" t="s">
        <v>313</v>
      </c>
      <c r="E94" t="s">
        <v>104</v>
      </c>
      <c r="F94" t="s">
        <v>63</v>
      </c>
      <c r="G94" t="s">
        <v>47</v>
      </c>
      <c r="H94" t="s">
        <v>308</v>
      </c>
      <c r="I94" t="s">
        <v>308</v>
      </c>
      <c r="J94" t="s">
        <v>308</v>
      </c>
      <c r="K94" t="s">
        <v>85</v>
      </c>
      <c r="L94" t="s">
        <v>308</v>
      </c>
      <c r="M94">
        <v>15516</v>
      </c>
      <c r="N94" t="s">
        <v>315</v>
      </c>
      <c r="O94" s="1">
        <v>45589</v>
      </c>
      <c r="P94" s="1">
        <v>45610</v>
      </c>
      <c r="Q94" s="1">
        <v>45595</v>
      </c>
      <c r="R94">
        <v>21</v>
      </c>
      <c r="S94">
        <v>6</v>
      </c>
      <c r="T94" t="s">
        <v>343</v>
      </c>
      <c r="U94" t="s">
        <v>94</v>
      </c>
    </row>
    <row r="95" spans="1:21">
      <c r="A95" t="s">
        <v>104</v>
      </c>
      <c r="B95" t="s">
        <v>313</v>
      </c>
      <c r="E95" t="s">
        <v>104</v>
      </c>
      <c r="F95" t="s">
        <v>21</v>
      </c>
      <c r="G95" t="s">
        <v>31</v>
      </c>
      <c r="H95" t="s">
        <v>89</v>
      </c>
      <c r="I95" t="s">
        <v>308</v>
      </c>
      <c r="J95" t="s">
        <v>340</v>
      </c>
      <c r="K95" t="s">
        <v>85</v>
      </c>
      <c r="L95" t="s">
        <v>308</v>
      </c>
      <c r="M95">
        <v>10045</v>
      </c>
      <c r="N95" t="s">
        <v>311</v>
      </c>
      <c r="O95" s="1">
        <v>45591</v>
      </c>
      <c r="P95" s="1">
        <v>45612</v>
      </c>
      <c r="Q95" s="1"/>
      <c r="R95">
        <v>21</v>
      </c>
      <c r="S95">
        <v>0</v>
      </c>
      <c r="T95" t="s">
        <v>36</v>
      </c>
      <c r="U95" t="s">
        <v>36</v>
      </c>
    </row>
    <row r="96" spans="1:21">
      <c r="A96" t="s">
        <v>174</v>
      </c>
      <c r="B96" t="s">
        <v>310</v>
      </c>
      <c r="C96" t="s">
        <v>241</v>
      </c>
      <c r="D96" t="s">
        <v>312</v>
      </c>
      <c r="E96" t="s">
        <v>20</v>
      </c>
      <c r="F96" t="s">
        <v>21</v>
      </c>
      <c r="G96" t="s">
        <v>31</v>
      </c>
      <c r="H96" t="s">
        <v>89</v>
      </c>
      <c r="I96" t="s">
        <v>308</v>
      </c>
      <c r="J96" t="s">
        <v>338</v>
      </c>
      <c r="K96" t="s">
        <v>85</v>
      </c>
      <c r="L96" t="s">
        <v>308</v>
      </c>
      <c r="M96">
        <v>11649</v>
      </c>
      <c r="N96" t="s">
        <v>311</v>
      </c>
      <c r="O96" s="1">
        <v>45591</v>
      </c>
      <c r="P96" s="1">
        <v>45606</v>
      </c>
      <c r="Q96" s="1">
        <v>45614</v>
      </c>
      <c r="R96">
        <v>15</v>
      </c>
      <c r="S96">
        <v>23</v>
      </c>
      <c r="T96" t="s">
        <v>343</v>
      </c>
      <c r="U96" t="s">
        <v>94</v>
      </c>
    </row>
    <row r="97" spans="1:21">
      <c r="A97" t="s">
        <v>174</v>
      </c>
      <c r="B97" t="s">
        <v>310</v>
      </c>
      <c r="C97" t="s">
        <v>241</v>
      </c>
      <c r="D97" t="s">
        <v>312</v>
      </c>
      <c r="E97" t="s">
        <v>20</v>
      </c>
      <c r="F97" t="s">
        <v>21</v>
      </c>
      <c r="G97" t="s">
        <v>31</v>
      </c>
      <c r="H97" t="s">
        <v>89</v>
      </c>
      <c r="I97" t="s">
        <v>308</v>
      </c>
      <c r="J97" t="s">
        <v>338</v>
      </c>
      <c r="K97" t="s">
        <v>85</v>
      </c>
      <c r="L97" t="s">
        <v>308</v>
      </c>
      <c r="M97">
        <v>11649</v>
      </c>
      <c r="N97" t="s">
        <v>311</v>
      </c>
      <c r="O97" s="1">
        <v>45591</v>
      </c>
      <c r="P97" s="1">
        <v>45606</v>
      </c>
      <c r="Q97" s="1">
        <v>45614</v>
      </c>
      <c r="R97">
        <v>15</v>
      </c>
      <c r="S97">
        <v>23</v>
      </c>
      <c r="T97" t="s">
        <v>343</v>
      </c>
      <c r="U97" t="s">
        <v>94</v>
      </c>
    </row>
    <row r="98" spans="1:21">
      <c r="A98" t="s">
        <v>242</v>
      </c>
      <c r="B98" t="s">
        <v>310</v>
      </c>
      <c r="C98" t="s">
        <v>99</v>
      </c>
      <c r="D98" t="s">
        <v>309</v>
      </c>
      <c r="E98" t="s">
        <v>20</v>
      </c>
      <c r="F98" t="s">
        <v>21</v>
      </c>
      <c r="G98" t="s">
        <v>55</v>
      </c>
      <c r="H98" t="s">
        <v>101</v>
      </c>
      <c r="I98" t="s">
        <v>308</v>
      </c>
      <c r="J98" t="s">
        <v>340</v>
      </c>
      <c r="K98" t="s">
        <v>73</v>
      </c>
      <c r="L98" t="s">
        <v>308</v>
      </c>
      <c r="M98">
        <v>5100</v>
      </c>
      <c r="N98" t="s">
        <v>311</v>
      </c>
      <c r="O98" s="1">
        <v>45593</v>
      </c>
      <c r="P98" s="1">
        <v>45607</v>
      </c>
      <c r="Q98" s="1">
        <v>45617</v>
      </c>
      <c r="R98">
        <v>14</v>
      </c>
      <c r="S98">
        <v>24</v>
      </c>
      <c r="T98" t="s">
        <v>343</v>
      </c>
      <c r="U98" t="s">
        <v>94</v>
      </c>
    </row>
    <row r="99" spans="1:21">
      <c r="A99" t="s">
        <v>242</v>
      </c>
      <c r="B99" t="s">
        <v>310</v>
      </c>
      <c r="C99" t="s">
        <v>99</v>
      </c>
      <c r="D99" t="s">
        <v>309</v>
      </c>
      <c r="E99" t="s">
        <v>20</v>
      </c>
      <c r="F99" t="s">
        <v>21</v>
      </c>
      <c r="G99" t="s">
        <v>55</v>
      </c>
      <c r="H99" t="s">
        <v>101</v>
      </c>
      <c r="I99" t="s">
        <v>308</v>
      </c>
      <c r="J99" t="s">
        <v>350</v>
      </c>
      <c r="K99" t="s">
        <v>73</v>
      </c>
      <c r="L99" t="s">
        <v>308</v>
      </c>
      <c r="M99">
        <v>5300</v>
      </c>
      <c r="N99" t="s">
        <v>311</v>
      </c>
      <c r="O99" s="1">
        <v>45593</v>
      </c>
      <c r="P99" s="1">
        <v>45607</v>
      </c>
      <c r="Q99" s="1">
        <v>45617</v>
      </c>
      <c r="R99">
        <v>14</v>
      </c>
      <c r="S99">
        <v>24</v>
      </c>
      <c r="T99" t="s">
        <v>343</v>
      </c>
      <c r="U99" t="s">
        <v>94</v>
      </c>
    </row>
    <row r="100" spans="1:21">
      <c r="A100" t="s">
        <v>386</v>
      </c>
      <c r="B100" t="s">
        <v>310</v>
      </c>
      <c r="C100" t="s">
        <v>245</v>
      </c>
      <c r="D100" t="s">
        <v>309</v>
      </c>
      <c r="E100" t="s">
        <v>20</v>
      </c>
      <c r="F100" t="s">
        <v>21</v>
      </c>
      <c r="G100" t="s">
        <v>31</v>
      </c>
      <c r="H100" t="s">
        <v>32</v>
      </c>
      <c r="I100" t="s">
        <v>308</v>
      </c>
      <c r="J100" t="s">
        <v>345</v>
      </c>
      <c r="K100" t="s">
        <v>73</v>
      </c>
      <c r="L100" t="s">
        <v>308</v>
      </c>
      <c r="M100">
        <v>12099</v>
      </c>
      <c r="N100" t="s">
        <v>315</v>
      </c>
      <c r="O100" s="1">
        <v>45607</v>
      </c>
      <c r="P100" s="1">
        <v>45622</v>
      </c>
      <c r="Q100" s="1">
        <v>45623</v>
      </c>
      <c r="R100">
        <v>15</v>
      </c>
      <c r="S100">
        <v>16</v>
      </c>
      <c r="T100" t="s">
        <v>343</v>
      </c>
      <c r="U100" t="s">
        <v>94</v>
      </c>
    </row>
    <row r="101" spans="1:21">
      <c r="A101" t="s">
        <v>104</v>
      </c>
      <c r="B101" t="s">
        <v>313</v>
      </c>
      <c r="C101" t="s">
        <v>218</v>
      </c>
      <c r="D101" t="s">
        <v>309</v>
      </c>
      <c r="E101" t="s">
        <v>104</v>
      </c>
      <c r="F101" t="s">
        <v>63</v>
      </c>
      <c r="G101" t="s">
        <v>47</v>
      </c>
      <c r="H101" t="s">
        <v>246</v>
      </c>
      <c r="I101" t="s">
        <v>308</v>
      </c>
      <c r="J101" t="s">
        <v>308</v>
      </c>
      <c r="K101" t="s">
        <v>203</v>
      </c>
      <c r="L101" t="s">
        <v>247</v>
      </c>
      <c r="M101">
        <v>15872</v>
      </c>
      <c r="N101" t="s">
        <v>315</v>
      </c>
      <c r="O101" s="1">
        <v>45604</v>
      </c>
      <c r="P101" s="1">
        <v>45629</v>
      </c>
      <c r="Q101" s="1">
        <v>45610</v>
      </c>
      <c r="R101">
        <v>25</v>
      </c>
      <c r="S101">
        <v>6</v>
      </c>
      <c r="T101" t="s">
        <v>343</v>
      </c>
      <c r="U101" t="s">
        <v>94</v>
      </c>
    </row>
    <row r="102" spans="1:21">
      <c r="A102" t="s">
        <v>248</v>
      </c>
      <c r="B102" t="s">
        <v>310</v>
      </c>
      <c r="C102" t="s">
        <v>50</v>
      </c>
      <c r="D102" t="s">
        <v>309</v>
      </c>
      <c r="E102" t="s">
        <v>248</v>
      </c>
      <c r="F102" t="s">
        <v>21</v>
      </c>
      <c r="G102" t="s">
        <v>55</v>
      </c>
      <c r="H102" t="s">
        <v>92</v>
      </c>
      <c r="I102" t="s">
        <v>308</v>
      </c>
      <c r="J102" t="s">
        <v>350</v>
      </c>
      <c r="K102" t="s">
        <v>73</v>
      </c>
      <c r="L102" t="s">
        <v>308</v>
      </c>
      <c r="M102">
        <v>4520</v>
      </c>
      <c r="N102" t="s">
        <v>303</v>
      </c>
      <c r="O102" s="1">
        <v>45606</v>
      </c>
      <c r="P102" s="1">
        <v>45618</v>
      </c>
      <c r="Q102" s="1">
        <v>45617</v>
      </c>
      <c r="R102">
        <v>12</v>
      </c>
      <c r="S102">
        <v>11</v>
      </c>
      <c r="T102" t="s">
        <v>343</v>
      </c>
      <c r="U102" t="s">
        <v>94</v>
      </c>
    </row>
    <row r="103" spans="1:21">
      <c r="A103" t="s">
        <v>106</v>
      </c>
      <c r="B103" t="s">
        <v>313</v>
      </c>
      <c r="C103" t="s">
        <v>382</v>
      </c>
      <c r="D103" t="s">
        <v>320</v>
      </c>
      <c r="E103" t="s">
        <v>305</v>
      </c>
      <c r="F103" t="s">
        <v>21</v>
      </c>
      <c r="G103" t="s">
        <v>31</v>
      </c>
      <c r="H103" t="s">
        <v>89</v>
      </c>
      <c r="I103" t="s">
        <v>308</v>
      </c>
      <c r="J103" t="s">
        <v>338</v>
      </c>
      <c r="K103" t="s">
        <v>85</v>
      </c>
      <c r="L103" t="s">
        <v>308</v>
      </c>
      <c r="M103">
        <v>5766</v>
      </c>
      <c r="N103" t="s">
        <v>303</v>
      </c>
      <c r="O103" s="1">
        <v>45608</v>
      </c>
      <c r="P103" s="1">
        <v>45622</v>
      </c>
      <c r="Q103" s="1">
        <v>45621</v>
      </c>
      <c r="R103">
        <v>14</v>
      </c>
      <c r="S103">
        <v>13</v>
      </c>
      <c r="T103" t="s">
        <v>343</v>
      </c>
      <c r="U103" t="s">
        <v>94</v>
      </c>
    </row>
    <row r="104" spans="1:21">
      <c r="A104" t="s">
        <v>249</v>
      </c>
      <c r="B104" t="s">
        <v>310</v>
      </c>
      <c r="C104" t="s">
        <v>99</v>
      </c>
      <c r="D104" t="s">
        <v>309</v>
      </c>
      <c r="E104" t="s">
        <v>20</v>
      </c>
      <c r="F104" t="s">
        <v>21</v>
      </c>
      <c r="G104" t="s">
        <v>55</v>
      </c>
      <c r="H104" t="s">
        <v>92</v>
      </c>
      <c r="I104" t="s">
        <v>308</v>
      </c>
      <c r="J104" t="s">
        <v>387</v>
      </c>
      <c r="K104" t="s">
        <v>151</v>
      </c>
      <c r="L104" t="s">
        <v>308</v>
      </c>
      <c r="M104">
        <v>11395</v>
      </c>
      <c r="N104" t="s">
        <v>315</v>
      </c>
      <c r="O104" s="1">
        <v>45608</v>
      </c>
      <c r="P104" s="1">
        <v>45620</v>
      </c>
      <c r="Q104" s="1">
        <v>45623</v>
      </c>
      <c r="R104">
        <v>12</v>
      </c>
      <c r="S104">
        <v>15</v>
      </c>
      <c r="T104" t="s">
        <v>343</v>
      </c>
      <c r="U104" t="s">
        <v>94</v>
      </c>
    </row>
    <row r="105" spans="1:21">
      <c r="A105" t="s">
        <v>250</v>
      </c>
      <c r="B105" t="s">
        <v>310</v>
      </c>
      <c r="C105" t="s">
        <v>50</v>
      </c>
      <c r="D105" t="s">
        <v>309</v>
      </c>
      <c r="E105" t="s">
        <v>20</v>
      </c>
      <c r="F105" t="s">
        <v>21</v>
      </c>
      <c r="G105" t="s">
        <v>31</v>
      </c>
      <c r="H105" t="s">
        <v>89</v>
      </c>
      <c r="I105" t="s">
        <v>308</v>
      </c>
      <c r="J105" t="s">
        <v>345</v>
      </c>
      <c r="K105" t="s">
        <v>73</v>
      </c>
      <c r="L105" t="s">
        <v>308</v>
      </c>
      <c r="M105">
        <v>12919</v>
      </c>
      <c r="N105" t="s">
        <v>315</v>
      </c>
      <c r="O105" s="1">
        <v>45610</v>
      </c>
      <c r="P105" s="1">
        <v>45626</v>
      </c>
      <c r="Q105" s="1">
        <v>45623</v>
      </c>
      <c r="R105">
        <v>16</v>
      </c>
      <c r="S105">
        <v>13</v>
      </c>
      <c r="T105" t="s">
        <v>343</v>
      </c>
      <c r="U105" t="s">
        <v>94</v>
      </c>
    </row>
    <row r="106" spans="1:21">
      <c r="A106" t="s">
        <v>106</v>
      </c>
      <c r="B106" t="s">
        <v>313</v>
      </c>
      <c r="C106" t="s">
        <v>382</v>
      </c>
      <c r="D106" t="s">
        <v>320</v>
      </c>
      <c r="E106" t="s">
        <v>305</v>
      </c>
      <c r="F106" t="s">
        <v>21</v>
      </c>
      <c r="G106" t="s">
        <v>31</v>
      </c>
      <c r="H106" t="s">
        <v>42</v>
      </c>
      <c r="I106" t="s">
        <v>308</v>
      </c>
      <c r="J106" t="s">
        <v>350</v>
      </c>
      <c r="K106" t="s">
        <v>43</v>
      </c>
      <c r="L106" t="s">
        <v>308</v>
      </c>
      <c r="M106">
        <v>6376</v>
      </c>
      <c r="N106" t="s">
        <v>303</v>
      </c>
      <c r="O106" s="1">
        <v>45610</v>
      </c>
      <c r="P106" s="1">
        <v>45623</v>
      </c>
      <c r="Q106" s="1">
        <v>45621</v>
      </c>
      <c r="R106">
        <v>13</v>
      </c>
      <c r="S106">
        <v>11</v>
      </c>
      <c r="T106" t="s">
        <v>343</v>
      </c>
      <c r="U106" t="s">
        <v>94</v>
      </c>
    </row>
    <row r="107" spans="1:21">
      <c r="A107" t="s">
        <v>106</v>
      </c>
      <c r="B107" t="s">
        <v>313</v>
      </c>
      <c r="C107" t="s">
        <v>382</v>
      </c>
      <c r="D107" t="s">
        <v>320</v>
      </c>
      <c r="E107" t="s">
        <v>305</v>
      </c>
      <c r="F107" t="s">
        <v>21</v>
      </c>
      <c r="G107" t="s">
        <v>31</v>
      </c>
      <c r="H107" t="s">
        <v>42</v>
      </c>
      <c r="I107" t="s">
        <v>308</v>
      </c>
      <c r="J107" t="s">
        <v>338</v>
      </c>
      <c r="K107" t="s">
        <v>85</v>
      </c>
      <c r="L107" t="s">
        <v>308</v>
      </c>
      <c r="M107">
        <v>5294</v>
      </c>
      <c r="N107" t="s">
        <v>303</v>
      </c>
      <c r="O107" s="1">
        <v>45610</v>
      </c>
      <c r="P107" s="1">
        <v>45623</v>
      </c>
      <c r="Q107" s="1">
        <v>45621</v>
      </c>
      <c r="R107">
        <v>13</v>
      </c>
      <c r="S107">
        <v>11</v>
      </c>
      <c r="T107" t="s">
        <v>343</v>
      </c>
      <c r="U107" t="s">
        <v>94</v>
      </c>
    </row>
    <row r="108" spans="1:21">
      <c r="A108" t="s">
        <v>388</v>
      </c>
      <c r="B108" t="s">
        <v>310</v>
      </c>
      <c r="C108" t="s">
        <v>258</v>
      </c>
      <c r="D108" t="s">
        <v>312</v>
      </c>
      <c r="E108" t="s">
        <v>389</v>
      </c>
      <c r="F108" t="s">
        <v>21</v>
      </c>
      <c r="G108" t="s">
        <v>31</v>
      </c>
      <c r="H108" t="s">
        <v>32</v>
      </c>
      <c r="I108" t="s">
        <v>308</v>
      </c>
      <c r="J108" t="s">
        <v>345</v>
      </c>
      <c r="K108" t="s">
        <v>73</v>
      </c>
      <c r="L108" t="s">
        <v>308</v>
      </c>
      <c r="M108">
        <v>7396</v>
      </c>
      <c r="N108" t="s">
        <v>315</v>
      </c>
      <c r="O108" s="1">
        <v>45613</v>
      </c>
      <c r="P108" s="1">
        <v>45624</v>
      </c>
      <c r="Q108" s="1">
        <v>45622</v>
      </c>
      <c r="R108">
        <v>11</v>
      </c>
      <c r="S108">
        <v>9</v>
      </c>
      <c r="T108" t="s">
        <v>343</v>
      </c>
      <c r="U108" t="s">
        <v>94</v>
      </c>
    </row>
    <row r="109" spans="1:21">
      <c r="A109" t="s">
        <v>174</v>
      </c>
      <c r="B109" t="s">
        <v>310</v>
      </c>
      <c r="C109" t="s">
        <v>258</v>
      </c>
      <c r="D109" t="s">
        <v>312</v>
      </c>
      <c r="E109" t="s">
        <v>20</v>
      </c>
      <c r="F109" t="s">
        <v>21</v>
      </c>
      <c r="G109" t="s">
        <v>31</v>
      </c>
      <c r="H109" t="s">
        <v>89</v>
      </c>
      <c r="I109" t="s">
        <v>308</v>
      </c>
      <c r="J109" t="s">
        <v>338</v>
      </c>
      <c r="K109" t="s">
        <v>85</v>
      </c>
      <c r="L109" t="s">
        <v>308</v>
      </c>
      <c r="M109">
        <v>13439</v>
      </c>
      <c r="N109" t="s">
        <v>311</v>
      </c>
      <c r="O109" s="1">
        <v>45616</v>
      </c>
      <c r="P109" s="1">
        <v>45631</v>
      </c>
      <c r="Q109" s="1">
        <v>45622</v>
      </c>
      <c r="R109">
        <v>15</v>
      </c>
      <c r="S109">
        <v>6</v>
      </c>
      <c r="T109" t="s">
        <v>343</v>
      </c>
      <c r="U109" t="s">
        <v>94</v>
      </c>
    </row>
    <row r="110" spans="1:21">
      <c r="A110" t="s">
        <v>59</v>
      </c>
      <c r="B110" t="s">
        <v>313</v>
      </c>
      <c r="C110" t="s">
        <v>58</v>
      </c>
      <c r="D110" t="s">
        <v>309</v>
      </c>
      <c r="E110" t="s">
        <v>59</v>
      </c>
      <c r="F110" t="s">
        <v>21</v>
      </c>
      <c r="G110" t="s">
        <v>55</v>
      </c>
      <c r="H110" t="s">
        <v>260</v>
      </c>
      <c r="I110" t="s">
        <v>308</v>
      </c>
      <c r="J110" t="s">
        <v>387</v>
      </c>
      <c r="K110" t="s">
        <v>85</v>
      </c>
      <c r="L110" t="s">
        <v>308</v>
      </c>
      <c r="M110">
        <v>5100</v>
      </c>
      <c r="N110" t="s">
        <v>303</v>
      </c>
      <c r="O110" s="1">
        <v>45610</v>
      </c>
      <c r="P110" s="1">
        <v>45634</v>
      </c>
      <c r="Q110" s="1"/>
      <c r="R110">
        <v>24</v>
      </c>
      <c r="S110">
        <v>0</v>
      </c>
      <c r="T110" t="s">
        <v>36</v>
      </c>
      <c r="U110" t="s">
        <v>36</v>
      </c>
    </row>
    <row r="111" spans="1:21">
      <c r="A111" t="s">
        <v>261</v>
      </c>
      <c r="B111" t="s">
        <v>310</v>
      </c>
      <c r="C111" t="s">
        <v>72</v>
      </c>
      <c r="D111" t="s">
        <v>309</v>
      </c>
      <c r="E111" t="s">
        <v>262</v>
      </c>
      <c r="F111" t="s">
        <v>21</v>
      </c>
      <c r="G111" t="s">
        <v>55</v>
      </c>
      <c r="H111" t="s">
        <v>358</v>
      </c>
      <c r="I111" t="s">
        <v>308</v>
      </c>
      <c r="J111" t="s">
        <v>387</v>
      </c>
      <c r="K111" t="s">
        <v>133</v>
      </c>
      <c r="L111" t="s">
        <v>73</v>
      </c>
      <c r="M111">
        <v>6000</v>
      </c>
      <c r="N111" t="s">
        <v>311</v>
      </c>
      <c r="O111" s="1">
        <v>45618</v>
      </c>
      <c r="P111" s="1">
        <v>45628</v>
      </c>
      <c r="Q111" s="1">
        <v>45623</v>
      </c>
      <c r="R111">
        <v>10</v>
      </c>
      <c r="S111">
        <v>5</v>
      </c>
      <c r="T111" t="s">
        <v>343</v>
      </c>
      <c r="U111" t="s">
        <v>94</v>
      </c>
    </row>
    <row r="112" spans="1:21">
      <c r="A112" t="s">
        <v>390</v>
      </c>
      <c r="B112" t="s">
        <v>310</v>
      </c>
      <c r="C112" t="s">
        <v>391</v>
      </c>
      <c r="D112" t="s">
        <v>309</v>
      </c>
      <c r="E112" t="s">
        <v>20</v>
      </c>
      <c r="F112" t="s">
        <v>21</v>
      </c>
      <c r="G112" t="s">
        <v>55</v>
      </c>
      <c r="H112" t="s">
        <v>101</v>
      </c>
      <c r="I112" t="s">
        <v>308</v>
      </c>
      <c r="J112" t="s">
        <v>350</v>
      </c>
      <c r="K112" t="s">
        <v>43</v>
      </c>
      <c r="L112" t="s">
        <v>308</v>
      </c>
      <c r="M112">
        <v>10885</v>
      </c>
      <c r="N112" t="s">
        <v>311</v>
      </c>
      <c r="O112" s="1">
        <v>45620</v>
      </c>
      <c r="P112" s="1">
        <v>45631</v>
      </c>
      <c r="Q112" s="1">
        <v>45636</v>
      </c>
      <c r="R112">
        <v>11</v>
      </c>
      <c r="S112">
        <v>16</v>
      </c>
      <c r="T112" t="s">
        <v>343</v>
      </c>
      <c r="U112" t="s">
        <v>94</v>
      </c>
    </row>
    <row r="113" spans="1:21">
      <c r="A113" t="s">
        <v>59</v>
      </c>
      <c r="B113" t="s">
        <v>313</v>
      </c>
      <c r="C113" t="s">
        <v>58</v>
      </c>
      <c r="D113" t="s">
        <v>309</v>
      </c>
      <c r="E113" t="s">
        <v>59</v>
      </c>
      <c r="F113" t="s">
        <v>63</v>
      </c>
      <c r="G113" t="s">
        <v>267</v>
      </c>
      <c r="H113" t="s">
        <v>267</v>
      </c>
      <c r="I113" t="s">
        <v>308</v>
      </c>
      <c r="J113" t="s">
        <v>308</v>
      </c>
      <c r="K113" t="s">
        <v>308</v>
      </c>
      <c r="L113" t="s">
        <v>308</v>
      </c>
      <c r="M113">
        <v>6000</v>
      </c>
      <c r="N113" t="s">
        <v>311</v>
      </c>
      <c r="O113" s="1">
        <v>45615</v>
      </c>
      <c r="P113" s="1">
        <v>45631</v>
      </c>
      <c r="Q113" s="1">
        <v>45616</v>
      </c>
      <c r="R113">
        <v>16</v>
      </c>
      <c r="S113">
        <v>1</v>
      </c>
      <c r="T113" t="s">
        <v>392</v>
      </c>
      <c r="U113" t="s">
        <v>94</v>
      </c>
    </row>
    <row r="114" spans="1:21">
      <c r="A114" t="s">
        <v>269</v>
      </c>
      <c r="B114" t="s">
        <v>310</v>
      </c>
      <c r="C114" t="s">
        <v>393</v>
      </c>
      <c r="D114" t="s">
        <v>318</v>
      </c>
      <c r="E114" t="s">
        <v>20</v>
      </c>
      <c r="F114" t="s">
        <v>271</v>
      </c>
      <c r="G114" t="s">
        <v>308</v>
      </c>
      <c r="H114" t="s">
        <v>272</v>
      </c>
      <c r="I114" t="s">
        <v>308</v>
      </c>
      <c r="J114" t="s">
        <v>308</v>
      </c>
      <c r="K114" t="s">
        <v>308</v>
      </c>
      <c r="L114" t="s">
        <v>308</v>
      </c>
      <c r="M114">
        <v>8449</v>
      </c>
      <c r="N114" t="s">
        <v>315</v>
      </c>
      <c r="O114" s="1">
        <v>45623</v>
      </c>
      <c r="P114" s="1">
        <v>45636</v>
      </c>
      <c r="Q114" s="1">
        <v>45649</v>
      </c>
      <c r="R114">
        <v>13</v>
      </c>
      <c r="S114">
        <v>26</v>
      </c>
      <c r="T114" t="s">
        <v>336</v>
      </c>
      <c r="U114" t="s">
        <v>94</v>
      </c>
    </row>
    <row r="115" spans="1:21">
      <c r="A115" t="s">
        <v>273</v>
      </c>
      <c r="B115" t="s">
        <v>310</v>
      </c>
      <c r="C115" t="s">
        <v>351</v>
      </c>
      <c r="D115" t="s">
        <v>309</v>
      </c>
      <c r="E115" t="s">
        <v>20</v>
      </c>
      <c r="F115" t="s">
        <v>271</v>
      </c>
      <c r="G115" t="s">
        <v>295</v>
      </c>
      <c r="H115" t="s">
        <v>275</v>
      </c>
      <c r="I115" t="s">
        <v>308</v>
      </c>
      <c r="J115" t="s">
        <v>308</v>
      </c>
      <c r="K115" t="s">
        <v>73</v>
      </c>
      <c r="L115" t="s">
        <v>276</v>
      </c>
      <c r="M115">
        <v>10249</v>
      </c>
      <c r="N115" t="s">
        <v>311</v>
      </c>
      <c r="O115" s="1">
        <v>45623</v>
      </c>
      <c r="P115" s="1">
        <v>45636</v>
      </c>
      <c r="Q115" s="1">
        <v>45645</v>
      </c>
      <c r="R115">
        <v>13</v>
      </c>
      <c r="S115">
        <v>22</v>
      </c>
      <c r="T115" t="s">
        <v>343</v>
      </c>
      <c r="U115" t="s">
        <v>94</v>
      </c>
    </row>
    <row r="116" spans="1:21">
      <c r="A116" t="s">
        <v>277</v>
      </c>
      <c r="B116" t="s">
        <v>310</v>
      </c>
      <c r="C116" t="s">
        <v>278</v>
      </c>
      <c r="D116" t="s">
        <v>318</v>
      </c>
      <c r="E116" t="s">
        <v>20</v>
      </c>
      <c r="F116" t="s">
        <v>21</v>
      </c>
      <c r="G116" t="s">
        <v>31</v>
      </c>
      <c r="H116" t="s">
        <v>32</v>
      </c>
      <c r="I116" t="s">
        <v>308</v>
      </c>
      <c r="J116" t="s">
        <v>340</v>
      </c>
      <c r="K116" t="s">
        <v>85</v>
      </c>
      <c r="L116" t="s">
        <v>308</v>
      </c>
      <c r="M116">
        <v>14905</v>
      </c>
      <c r="N116" t="s">
        <v>315</v>
      </c>
      <c r="O116" s="1">
        <v>45625</v>
      </c>
      <c r="P116" s="1">
        <v>45641</v>
      </c>
      <c r="Q116" s="1"/>
      <c r="R116">
        <v>16</v>
      </c>
      <c r="S116">
        <v>0</v>
      </c>
      <c r="T116" t="s">
        <v>36</v>
      </c>
      <c r="U116" t="s">
        <v>36</v>
      </c>
    </row>
    <row r="117" spans="1:21">
      <c r="A117" t="s">
        <v>283</v>
      </c>
      <c r="B117" t="s">
        <v>310</v>
      </c>
      <c r="C117" t="s">
        <v>91</v>
      </c>
      <c r="D117" t="s">
        <v>309</v>
      </c>
      <c r="E117" t="s">
        <v>20</v>
      </c>
      <c r="F117" t="s">
        <v>271</v>
      </c>
      <c r="G117" t="s">
        <v>295</v>
      </c>
      <c r="H117" t="s">
        <v>275</v>
      </c>
      <c r="I117" t="s">
        <v>308</v>
      </c>
      <c r="J117" t="s">
        <v>308</v>
      </c>
      <c r="K117" t="s">
        <v>203</v>
      </c>
      <c r="L117" t="s">
        <v>282</v>
      </c>
      <c r="M117">
        <v>10249</v>
      </c>
      <c r="N117" t="s">
        <v>315</v>
      </c>
      <c r="O117" s="1">
        <v>45626</v>
      </c>
      <c r="P117" s="1">
        <v>45638</v>
      </c>
      <c r="Q117" s="1"/>
      <c r="R117">
        <v>12</v>
      </c>
      <c r="S117">
        <v>0</v>
      </c>
      <c r="T117" t="s">
        <v>36</v>
      </c>
      <c r="U117" t="s">
        <v>36</v>
      </c>
    </row>
    <row r="118" spans="1:21">
      <c r="A118" t="s">
        <v>283</v>
      </c>
      <c r="B118" t="s">
        <v>310</v>
      </c>
      <c r="C118" t="s">
        <v>91</v>
      </c>
      <c r="D118" t="s">
        <v>309</v>
      </c>
      <c r="E118" t="s">
        <v>20</v>
      </c>
      <c r="F118" t="s">
        <v>271</v>
      </c>
      <c r="G118" t="s">
        <v>116</v>
      </c>
      <c r="H118" t="s">
        <v>308</v>
      </c>
      <c r="I118" t="s">
        <v>308</v>
      </c>
      <c r="J118" t="s">
        <v>308</v>
      </c>
      <c r="K118" t="s">
        <v>85</v>
      </c>
      <c r="L118" t="s">
        <v>285</v>
      </c>
      <c r="M118">
        <v>9029</v>
      </c>
      <c r="N118" t="s">
        <v>315</v>
      </c>
      <c r="O118" s="1">
        <v>45626</v>
      </c>
      <c r="P118" s="1">
        <v>45638</v>
      </c>
      <c r="Q118" s="1"/>
      <c r="R118">
        <v>12</v>
      </c>
      <c r="S118">
        <v>0</v>
      </c>
      <c r="T118" t="s">
        <v>36</v>
      </c>
      <c r="U118" t="s">
        <v>36</v>
      </c>
    </row>
    <row r="119" spans="1:21">
      <c r="A119" t="s">
        <v>286</v>
      </c>
      <c r="B119" t="s">
        <v>310</v>
      </c>
      <c r="C119" t="s">
        <v>112</v>
      </c>
      <c r="D119" t="s">
        <v>207</v>
      </c>
      <c r="E119" t="s">
        <v>20</v>
      </c>
      <c r="F119" t="s">
        <v>271</v>
      </c>
      <c r="G119" t="s">
        <v>394</v>
      </c>
      <c r="H119" t="s">
        <v>308</v>
      </c>
      <c r="I119" t="s">
        <v>308</v>
      </c>
      <c r="J119" t="s">
        <v>308</v>
      </c>
      <c r="K119" t="s">
        <v>203</v>
      </c>
      <c r="L119" t="s">
        <v>288</v>
      </c>
      <c r="M119">
        <v>9029</v>
      </c>
      <c r="N119" t="s">
        <v>315</v>
      </c>
      <c r="O119" s="1">
        <v>45626</v>
      </c>
      <c r="P119" s="1">
        <v>45638</v>
      </c>
      <c r="Q119" s="1"/>
      <c r="R119">
        <v>12</v>
      </c>
      <c r="S119">
        <v>0</v>
      </c>
      <c r="T119" t="s">
        <v>36</v>
      </c>
      <c r="U119" t="s">
        <v>36</v>
      </c>
    </row>
    <row r="120" spans="1:21">
      <c r="A120" t="s">
        <v>289</v>
      </c>
      <c r="B120" t="s">
        <v>310</v>
      </c>
      <c r="C120" t="s">
        <v>290</v>
      </c>
      <c r="D120" t="s">
        <v>309</v>
      </c>
      <c r="E120" t="s">
        <v>20</v>
      </c>
      <c r="F120" t="s">
        <v>21</v>
      </c>
      <c r="G120" t="s">
        <v>31</v>
      </c>
      <c r="H120" t="s">
        <v>42</v>
      </c>
      <c r="I120" t="s">
        <v>308</v>
      </c>
      <c r="J120" t="s">
        <v>345</v>
      </c>
      <c r="K120" t="s">
        <v>73</v>
      </c>
      <c r="L120" t="s">
        <v>308</v>
      </c>
      <c r="M120">
        <v>12099</v>
      </c>
      <c r="N120" t="s">
        <v>315</v>
      </c>
      <c r="O120" s="1">
        <v>45628</v>
      </c>
      <c r="P120" s="1">
        <v>45643</v>
      </c>
      <c r="Q120" s="1"/>
      <c r="R120">
        <v>15</v>
      </c>
      <c r="S120">
        <v>0</v>
      </c>
      <c r="T120" t="s">
        <v>36</v>
      </c>
      <c r="U120" t="s">
        <v>36</v>
      </c>
    </row>
    <row r="121" spans="1:21">
      <c r="A121" t="s">
        <v>106</v>
      </c>
      <c r="B121" t="s">
        <v>313</v>
      </c>
      <c r="C121" t="s">
        <v>382</v>
      </c>
      <c r="D121" t="s">
        <v>320</v>
      </c>
      <c r="E121" t="s">
        <v>305</v>
      </c>
      <c r="F121" t="s">
        <v>21</v>
      </c>
      <c r="G121" t="s">
        <v>31</v>
      </c>
      <c r="H121" t="s">
        <v>32</v>
      </c>
      <c r="I121" t="s">
        <v>308</v>
      </c>
      <c r="J121" t="s">
        <v>338</v>
      </c>
      <c r="K121" t="s">
        <v>33</v>
      </c>
      <c r="L121" t="s">
        <v>308</v>
      </c>
      <c r="M121">
        <v>5217</v>
      </c>
      <c r="N121" t="s">
        <v>303</v>
      </c>
      <c r="O121" s="1">
        <v>45627</v>
      </c>
      <c r="P121" s="1">
        <v>45640</v>
      </c>
      <c r="Q121" s="1">
        <v>45636</v>
      </c>
      <c r="R121">
        <v>13</v>
      </c>
      <c r="S121">
        <v>9</v>
      </c>
      <c r="T121" t="s">
        <v>343</v>
      </c>
      <c r="U121" t="s">
        <v>94</v>
      </c>
    </row>
    <row r="122" spans="1:21">
      <c r="A122" t="s">
        <v>395</v>
      </c>
      <c r="B122" t="s">
        <v>310</v>
      </c>
      <c r="C122" t="s">
        <v>177</v>
      </c>
      <c r="D122" t="s">
        <v>309</v>
      </c>
      <c r="E122" t="s">
        <v>20</v>
      </c>
      <c r="F122" t="s">
        <v>21</v>
      </c>
      <c r="G122" t="s">
        <v>22</v>
      </c>
      <c r="H122" t="s">
        <v>308</v>
      </c>
      <c r="I122" t="s">
        <v>308</v>
      </c>
      <c r="J122" t="s">
        <v>308</v>
      </c>
      <c r="K122" t="s">
        <v>85</v>
      </c>
      <c r="L122" t="s">
        <v>85</v>
      </c>
      <c r="M122">
        <v>10249</v>
      </c>
      <c r="N122" t="s">
        <v>311</v>
      </c>
      <c r="O122" s="1">
        <v>45630</v>
      </c>
      <c r="P122" s="1">
        <v>45640</v>
      </c>
      <c r="Q122" s="1">
        <v>45645</v>
      </c>
      <c r="R122">
        <v>10</v>
      </c>
      <c r="S122">
        <v>15</v>
      </c>
      <c r="T122" t="s">
        <v>343</v>
      </c>
      <c r="U122" t="s">
        <v>94</v>
      </c>
    </row>
    <row r="123" spans="1:21">
      <c r="A123" t="s">
        <v>292</v>
      </c>
      <c r="B123" t="s">
        <v>310</v>
      </c>
      <c r="C123" t="s">
        <v>396</v>
      </c>
      <c r="D123" t="s">
        <v>309</v>
      </c>
      <c r="E123" t="s">
        <v>104</v>
      </c>
      <c r="F123" t="s">
        <v>21</v>
      </c>
      <c r="G123" t="s">
        <v>31</v>
      </c>
      <c r="H123" t="s">
        <v>89</v>
      </c>
      <c r="I123" t="s">
        <v>308</v>
      </c>
      <c r="J123" t="s">
        <v>308</v>
      </c>
      <c r="K123" t="s">
        <v>85</v>
      </c>
      <c r="L123" t="s">
        <v>308</v>
      </c>
      <c r="M123">
        <v>10445</v>
      </c>
      <c r="N123" t="s">
        <v>311</v>
      </c>
      <c r="O123" s="1">
        <v>45635</v>
      </c>
      <c r="P123" s="1">
        <v>45657</v>
      </c>
      <c r="Q123" s="1">
        <v>45638</v>
      </c>
      <c r="R123">
        <v>22</v>
      </c>
      <c r="S123">
        <v>3</v>
      </c>
      <c r="T123" t="s">
        <v>343</v>
      </c>
      <c r="U123" t="s">
        <v>94</v>
      </c>
    </row>
    <row r="124" spans="1:21">
      <c r="A124" t="s">
        <v>397</v>
      </c>
      <c r="B124" t="s">
        <v>310</v>
      </c>
      <c r="C124" t="s">
        <v>91</v>
      </c>
      <c r="D124" t="s">
        <v>309</v>
      </c>
      <c r="E124" t="s">
        <v>20</v>
      </c>
      <c r="F124" t="s">
        <v>271</v>
      </c>
      <c r="G124" t="s">
        <v>295</v>
      </c>
      <c r="H124" t="s">
        <v>275</v>
      </c>
      <c r="I124" t="s">
        <v>308</v>
      </c>
      <c r="J124" t="s">
        <v>308</v>
      </c>
      <c r="K124" t="s">
        <v>203</v>
      </c>
      <c r="L124" t="s">
        <v>282</v>
      </c>
      <c r="M124">
        <v>11199</v>
      </c>
      <c r="N124" t="s">
        <v>311</v>
      </c>
      <c r="O124" s="1">
        <v>45638</v>
      </c>
      <c r="P124" s="1">
        <v>45650</v>
      </c>
      <c r="Q124" s="1">
        <v>45645</v>
      </c>
      <c r="R124">
        <v>12</v>
      </c>
      <c r="S124">
        <v>7</v>
      </c>
      <c r="T124" t="s">
        <v>343</v>
      </c>
      <c r="U124" t="s">
        <v>94</v>
      </c>
    </row>
    <row r="125" spans="1:21">
      <c r="A125" t="s">
        <v>296</v>
      </c>
      <c r="B125" t="s">
        <v>310</v>
      </c>
      <c r="C125" t="s">
        <v>258</v>
      </c>
      <c r="D125" t="s">
        <v>312</v>
      </c>
      <c r="E125" t="s">
        <v>20</v>
      </c>
      <c r="F125" t="s">
        <v>21</v>
      </c>
      <c r="G125" t="s">
        <v>31</v>
      </c>
      <c r="H125" t="s">
        <v>42</v>
      </c>
      <c r="I125" t="s">
        <v>308</v>
      </c>
      <c r="J125" t="s">
        <v>345</v>
      </c>
      <c r="K125" t="s">
        <v>85</v>
      </c>
      <c r="L125" t="s">
        <v>308</v>
      </c>
      <c r="M125">
        <v>13099</v>
      </c>
      <c r="N125" t="s">
        <v>311</v>
      </c>
      <c r="O125" s="1">
        <v>45638</v>
      </c>
      <c r="P125" s="1">
        <v>45654</v>
      </c>
      <c r="Q125" s="1">
        <v>45655</v>
      </c>
      <c r="R125">
        <v>16</v>
      </c>
      <c r="S125">
        <v>17</v>
      </c>
      <c r="T125" t="s">
        <v>343</v>
      </c>
      <c r="U125" t="s">
        <v>94</v>
      </c>
    </row>
    <row r="126" spans="1:21">
      <c r="A126" t="s">
        <v>104</v>
      </c>
      <c r="B126" t="s">
        <v>313</v>
      </c>
      <c r="C126" t="s">
        <v>218</v>
      </c>
      <c r="D126" t="s">
        <v>309</v>
      </c>
      <c r="E126" t="s">
        <v>104</v>
      </c>
      <c r="F126" t="s">
        <v>63</v>
      </c>
      <c r="G126" t="s">
        <v>47</v>
      </c>
      <c r="H126" t="s">
        <v>246</v>
      </c>
      <c r="I126" t="s">
        <v>308</v>
      </c>
      <c r="J126" t="s">
        <v>308</v>
      </c>
      <c r="K126" t="s">
        <v>203</v>
      </c>
      <c r="L126" t="s">
        <v>297</v>
      </c>
      <c r="M126">
        <v>8700</v>
      </c>
      <c r="N126" t="s">
        <v>303</v>
      </c>
      <c r="O126" s="1">
        <v>45640</v>
      </c>
      <c r="P126" s="1">
        <v>45662</v>
      </c>
      <c r="Q126" s="1">
        <v>45655</v>
      </c>
      <c r="R126">
        <v>22</v>
      </c>
      <c r="S126">
        <v>15</v>
      </c>
      <c r="T126" t="s">
        <v>343</v>
      </c>
      <c r="U126" t="s">
        <v>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2E2E77-7A96-4122-B0F2-F7A26419B16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Table1</vt:lpstr>
      <vt:lpstr>pivot tables</vt:lpstr>
      <vt:lpstr>Dashboard</vt:lpstr>
      <vt:lpstr>Misuo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mahmoud khairy</cp:lastModifiedBy>
  <dcterms:created xsi:type="dcterms:W3CDTF">2015-06-05T18:17:00Z</dcterms:created>
  <dcterms:modified xsi:type="dcterms:W3CDTF">2026-07-13T11:39:45Z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01C90403E6524D01B13FCD2D6C72DABF_12</vt:lpwstr>
  </property>
  <property fmtid="{D5CDD505-2E9C-101B-9397-08002B2CF9AE}" pid="3" name="KSOProductBuildVer">
    <vt:lpwstr>2057-12.2.0.23196</vt:lpwstr>
  </property>
</Properties>
</file>